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Eigene Dateien\Rad Büro\BDR\AB_KADER\Wettkampfstatistik\"/>
    </mc:Choice>
  </mc:AlternateContent>
  <xr:revisionPtr revIDLastSave="0" documentId="8_{97AD1B6C-CDC2-4DBB-8A6F-BBEC469D03DF}" xr6:coauthVersionLast="47" xr6:coauthVersionMax="47" xr10:uidLastSave="{00000000-0000-0000-0000-000000000000}"/>
  <bookViews>
    <workbookView xWindow="-120" yWindow="-120" windowWidth="29040" windowHeight="17640" xr2:uid="{1D6ADB12-11FA-4B61-A475-A530B5E62249}"/>
  </bookViews>
  <sheets>
    <sheet name="Programm" sheetId="1" r:id="rId1"/>
    <sheet name="Diagramme" sheetId="5" r:id="rId2"/>
    <sheet name="Einzelne Übung" sheetId="6" r:id="rId3"/>
    <sheet name="höchste Abzüge" sheetId="7" r:id="rId4"/>
    <sheet name="Wertungsbogen" sheetId="8" r:id="rId5"/>
  </sheets>
  <definedNames>
    <definedName name="_xlnm._FilterDatabase" localSheetId="2" hidden="1">'Einzelne Übung'!$A$13:$C$72</definedName>
    <definedName name="_xlnm._FilterDatabase" localSheetId="3" hidden="1">'höchste Abzüge'!$E$13:$L$72</definedName>
    <definedName name="_xlnm._FilterDatabase" localSheetId="0" hidden="1">Programm!$A$142:$B$201</definedName>
    <definedName name="_xlnm._FilterDatabase" localSheetId="4" hidden="1">Wertungsbogen!$A$1:$S$65</definedName>
    <definedName name="_xlnm.Print_Area" localSheetId="1">Diagramme!$A$1:$K$356</definedName>
    <definedName name="_xlnm.Print_Area" localSheetId="4">Wertungsbogen!$B$1:$S$65</definedName>
    <definedName name="_xlnm.Criteria" localSheetId="2">'Einzelne Übung'!$B$5:$C$6</definedName>
    <definedName name="_xlnm.Criteria" localSheetId="3">'höchste Abzüge'!$E$5:$E$10</definedName>
    <definedName name="_xlnm.Criteria" localSheetId="0">Programm!$A$139:$A$140</definedName>
  </definedNames>
  <calcPr calcId="181029" refMode="R1C1"/>
</workbook>
</file>

<file path=xl/calcChain.xml><?xml version="1.0" encoding="utf-8"?>
<calcChain xmlns="http://schemas.openxmlformats.org/spreadsheetml/2006/main">
  <c r="T132" i="1" l="1"/>
  <c r="S132" i="1"/>
  <c r="T120" i="1"/>
  <c r="K132" i="1"/>
  <c r="J132" i="1"/>
  <c r="I132" i="1"/>
  <c r="K130" i="1"/>
  <c r="J130" i="1"/>
  <c r="I130" i="1"/>
  <c r="K128" i="1"/>
  <c r="J128" i="1"/>
  <c r="I128" i="1"/>
  <c r="K126" i="1"/>
  <c r="J126" i="1"/>
  <c r="I126" i="1"/>
  <c r="K124" i="1"/>
  <c r="J124" i="1"/>
  <c r="I124" i="1"/>
  <c r="K122" i="1"/>
  <c r="J122" i="1"/>
  <c r="I122" i="1"/>
  <c r="K120" i="1"/>
  <c r="J120" i="1"/>
  <c r="I120" i="1"/>
  <c r="K118" i="1"/>
  <c r="J118" i="1"/>
  <c r="I118" i="1"/>
  <c r="K116" i="1"/>
  <c r="J116" i="1"/>
  <c r="I116" i="1"/>
  <c r="K114" i="1"/>
  <c r="J114" i="1"/>
  <c r="I114" i="1"/>
  <c r="K112" i="1"/>
  <c r="J112" i="1"/>
  <c r="I112" i="1"/>
  <c r="K110" i="1"/>
  <c r="J110" i="1"/>
  <c r="I110" i="1"/>
  <c r="K108" i="1"/>
  <c r="J108" i="1"/>
  <c r="I108" i="1"/>
  <c r="K106" i="1"/>
  <c r="J106" i="1"/>
  <c r="I106" i="1"/>
  <c r="K104" i="1"/>
  <c r="J104" i="1"/>
  <c r="I104" i="1"/>
  <c r="K102" i="1"/>
  <c r="J102" i="1"/>
  <c r="I102" i="1"/>
  <c r="K100" i="1"/>
  <c r="J100" i="1"/>
  <c r="I100" i="1"/>
  <c r="K98" i="1"/>
  <c r="J98" i="1"/>
  <c r="I98" i="1"/>
  <c r="K96" i="1"/>
  <c r="J96" i="1"/>
  <c r="I96" i="1"/>
  <c r="K94" i="1"/>
  <c r="J94" i="1"/>
  <c r="I94" i="1"/>
  <c r="K92" i="1"/>
  <c r="J92" i="1"/>
  <c r="I92" i="1"/>
  <c r="K90" i="1"/>
  <c r="J90" i="1"/>
  <c r="I90" i="1"/>
  <c r="K88" i="1"/>
  <c r="J88" i="1"/>
  <c r="I88" i="1"/>
  <c r="K86" i="1"/>
  <c r="J86" i="1"/>
  <c r="I86" i="1"/>
  <c r="K84" i="1"/>
  <c r="J84" i="1"/>
  <c r="I84" i="1"/>
  <c r="K82" i="1"/>
  <c r="J82" i="1"/>
  <c r="I82" i="1"/>
  <c r="I81" i="1"/>
  <c r="K80" i="1"/>
  <c r="J80" i="1"/>
  <c r="I80" i="1"/>
  <c r="K78" i="1"/>
  <c r="J78" i="1"/>
  <c r="I78" i="1"/>
  <c r="K76" i="1"/>
  <c r="J76" i="1"/>
  <c r="I76" i="1"/>
  <c r="F111" i="1"/>
  <c r="EM40" i="1"/>
  <c r="BE19" i="1"/>
  <c r="BL90" i="1"/>
  <c r="BE18" i="1"/>
  <c r="AV20" i="1"/>
  <c r="AV19" i="1"/>
  <c r="AV14" i="1"/>
  <c r="AY86" i="1"/>
  <c r="AD6" i="1"/>
  <c r="AD5" i="1"/>
  <c r="AK76" i="1"/>
  <c r="AD4" i="1"/>
  <c r="U5" i="1"/>
  <c r="AB76" i="1"/>
  <c r="U4" i="1"/>
  <c r="AV18" i="1"/>
  <c r="BC89" i="1"/>
  <c r="L7" i="1"/>
  <c r="S78" i="1"/>
  <c r="L5" i="1"/>
  <c r="T76" i="1"/>
  <c r="L61" i="1"/>
  <c r="R132" i="1"/>
  <c r="L59" i="1"/>
  <c r="L58" i="1"/>
  <c r="A57" i="8"/>
  <c r="L57" i="1"/>
  <c r="L55" i="1"/>
  <c r="L53" i="1"/>
  <c r="T124" i="1"/>
  <c r="L52" i="1"/>
  <c r="L51" i="1"/>
  <c r="R122" i="1"/>
  <c r="L49" i="1"/>
  <c r="S120" i="1"/>
  <c r="L47" i="1"/>
  <c r="S118" i="1"/>
  <c r="L45" i="1"/>
  <c r="S116" i="1"/>
  <c r="L44" i="1"/>
  <c r="S115" i="1"/>
  <c r="L43" i="1"/>
  <c r="S114" i="1"/>
  <c r="L41" i="1"/>
  <c r="S112" i="1"/>
  <c r="L39" i="1"/>
  <c r="S110" i="1"/>
  <c r="L37" i="1"/>
  <c r="S108" i="1"/>
  <c r="L35" i="1"/>
  <c r="L34" i="1"/>
  <c r="L33" i="1"/>
  <c r="S104" i="1"/>
  <c r="L31" i="1"/>
  <c r="L29" i="1"/>
  <c r="S100" i="1"/>
  <c r="L27" i="1"/>
  <c r="S98" i="1"/>
  <c r="L26" i="1"/>
  <c r="A25" i="8"/>
  <c r="L25" i="1"/>
  <c r="L23" i="1"/>
  <c r="S94" i="1"/>
  <c r="L21" i="1"/>
  <c r="S92" i="1"/>
  <c r="L20" i="1"/>
  <c r="L19" i="1"/>
  <c r="S90" i="1"/>
  <c r="L17" i="1"/>
  <c r="S88" i="1"/>
  <c r="L15" i="1"/>
  <c r="S86" i="1"/>
  <c r="L13" i="1"/>
  <c r="R84" i="1"/>
  <c r="L12" i="1"/>
  <c r="T83" i="1"/>
  <c r="L11" i="1"/>
  <c r="S82" i="1"/>
  <c r="L10" i="1"/>
  <c r="A9" i="8"/>
  <c r="L9" i="1"/>
  <c r="S80" i="1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1" i="8"/>
  <c r="B205" i="1"/>
  <c r="C4" i="1"/>
  <c r="L4" i="1"/>
  <c r="C6" i="1"/>
  <c r="J77" i="1"/>
  <c r="C8" i="1"/>
  <c r="K79" i="1"/>
  <c r="C10" i="1"/>
  <c r="J81" i="1"/>
  <c r="C12" i="1"/>
  <c r="K83" i="1"/>
  <c r="C14" i="1"/>
  <c r="J85" i="1"/>
  <c r="C16" i="1"/>
  <c r="K87" i="1"/>
  <c r="C18" i="1"/>
  <c r="F90" i="1"/>
  <c r="C20" i="1"/>
  <c r="K91" i="1"/>
  <c r="C22" i="1"/>
  <c r="J93" i="1"/>
  <c r="C24" i="1"/>
  <c r="L24" i="1"/>
  <c r="C26" i="1"/>
  <c r="J97" i="1"/>
  <c r="C28" i="1"/>
  <c r="L28" i="1"/>
  <c r="O100" i="1"/>
  <c r="C30" i="1"/>
  <c r="J101" i="1"/>
  <c r="C32" i="1"/>
  <c r="K103" i="1"/>
  <c r="C34" i="1"/>
  <c r="J105" i="1"/>
  <c r="C36" i="1"/>
  <c r="K107" i="1"/>
  <c r="C38" i="1"/>
  <c r="J109" i="1"/>
  <c r="C40" i="1"/>
  <c r="K111" i="1"/>
  <c r="C42" i="1"/>
  <c r="I113" i="1"/>
  <c r="C44" i="1"/>
  <c r="K115" i="1"/>
  <c r="C46" i="1"/>
  <c r="I117" i="1"/>
  <c r="C48" i="1"/>
  <c r="K119" i="1"/>
  <c r="C50" i="1"/>
  <c r="I121" i="1"/>
  <c r="C52" i="1"/>
  <c r="K123" i="1"/>
  <c r="C54" i="1"/>
  <c r="I125" i="1"/>
  <c r="C56" i="1"/>
  <c r="K127" i="1"/>
  <c r="C58" i="1"/>
  <c r="I129" i="1"/>
  <c r="C60" i="1"/>
  <c r="K131" i="1"/>
  <c r="C62" i="1"/>
  <c r="J133" i="1"/>
  <c r="U6" i="1"/>
  <c r="U8" i="1"/>
  <c r="AA79" i="1"/>
  <c r="U10" i="1"/>
  <c r="AC81" i="1"/>
  <c r="U12" i="1"/>
  <c r="AA83" i="1"/>
  <c r="U14" i="1"/>
  <c r="U16" i="1"/>
  <c r="U18" i="1"/>
  <c r="AB89" i="1"/>
  <c r="U20" i="1"/>
  <c r="AA91" i="1"/>
  <c r="U22" i="1"/>
  <c r="U24" i="1"/>
  <c r="U26" i="1"/>
  <c r="AB97" i="1"/>
  <c r="U28" i="1"/>
  <c r="AA99" i="1"/>
  <c r="U30" i="1"/>
  <c r="U32" i="1"/>
  <c r="AA103" i="1"/>
  <c r="U34" i="1"/>
  <c r="AB105" i="1"/>
  <c r="U36" i="1"/>
  <c r="AA107" i="1"/>
  <c r="U38" i="1"/>
  <c r="U40" i="1"/>
  <c r="AA111" i="1"/>
  <c r="U42" i="1"/>
  <c r="AB113" i="1"/>
  <c r="U44" i="1"/>
  <c r="U46" i="1"/>
  <c r="U48" i="1"/>
  <c r="AA119" i="1"/>
  <c r="U50" i="1"/>
  <c r="AB121" i="1"/>
  <c r="U52" i="1"/>
  <c r="AA123" i="1"/>
  <c r="U54" i="1"/>
  <c r="U56" i="1"/>
  <c r="U58" i="1"/>
  <c r="AB129" i="1"/>
  <c r="U60" i="1"/>
  <c r="AA131" i="1"/>
  <c r="U62" i="1"/>
  <c r="U7" i="1"/>
  <c r="U9" i="1"/>
  <c r="AC80" i="1"/>
  <c r="U11" i="1"/>
  <c r="U13" i="1"/>
  <c r="U15" i="1"/>
  <c r="U17" i="1"/>
  <c r="AA88" i="1"/>
  <c r="U19" i="1"/>
  <c r="U21" i="1"/>
  <c r="U23" i="1"/>
  <c r="U25" i="1"/>
  <c r="AA96" i="1"/>
  <c r="U27" i="1"/>
  <c r="U29" i="1"/>
  <c r="U31" i="1"/>
  <c r="U33" i="1"/>
  <c r="AA104" i="1"/>
  <c r="U35" i="1"/>
  <c r="U37" i="1"/>
  <c r="U39" i="1"/>
  <c r="U41" i="1"/>
  <c r="AA112" i="1"/>
  <c r="U43" i="1"/>
  <c r="U45" i="1"/>
  <c r="U47" i="1"/>
  <c r="U49" i="1"/>
  <c r="AA120" i="1"/>
  <c r="U51" i="1"/>
  <c r="U53" i="1"/>
  <c r="U55" i="1"/>
  <c r="U57" i="1"/>
  <c r="AA128" i="1"/>
  <c r="U59" i="1"/>
  <c r="U61" i="1"/>
  <c r="AD8" i="1"/>
  <c r="AD10" i="1"/>
  <c r="AJ81" i="1"/>
  <c r="AD12" i="1"/>
  <c r="AD14" i="1"/>
  <c r="AD16" i="1"/>
  <c r="AD18" i="1"/>
  <c r="AJ89" i="1"/>
  <c r="AD20" i="1"/>
  <c r="AD22" i="1"/>
  <c r="AD24" i="1"/>
  <c r="AD26" i="1"/>
  <c r="AJ97" i="1"/>
  <c r="AD28" i="1"/>
  <c r="AG100" i="1"/>
  <c r="AD30" i="1"/>
  <c r="AD32" i="1"/>
  <c r="AD34" i="1"/>
  <c r="AJ105" i="1"/>
  <c r="AD36" i="1"/>
  <c r="AG108" i="1"/>
  <c r="AD38" i="1"/>
  <c r="AD40" i="1"/>
  <c r="AJ111" i="1"/>
  <c r="AD42" i="1"/>
  <c r="AJ113" i="1"/>
  <c r="AD44" i="1"/>
  <c r="AD46" i="1"/>
  <c r="AD48" i="1"/>
  <c r="AD50" i="1"/>
  <c r="AJ121" i="1"/>
  <c r="AD52" i="1"/>
  <c r="AG124" i="1"/>
  <c r="AD54" i="1"/>
  <c r="AD56" i="1"/>
  <c r="AJ127" i="1"/>
  <c r="AD58" i="1"/>
  <c r="AJ129" i="1"/>
  <c r="AD60" i="1"/>
  <c r="AD62" i="1"/>
  <c r="AD7" i="1"/>
  <c r="AL78" i="1"/>
  <c r="AD9" i="1"/>
  <c r="AL80" i="1"/>
  <c r="AD11" i="1"/>
  <c r="AL82" i="1"/>
  <c r="AD13" i="1"/>
  <c r="AD15" i="1"/>
  <c r="AL86" i="1"/>
  <c r="AD17" i="1"/>
  <c r="AL88" i="1"/>
  <c r="AD19" i="1"/>
  <c r="AD21" i="1"/>
  <c r="AD23" i="1"/>
  <c r="AL94" i="1"/>
  <c r="AD25" i="1"/>
  <c r="AL96" i="1"/>
  <c r="AD27" i="1"/>
  <c r="AD29" i="1"/>
  <c r="AD31" i="1"/>
  <c r="AL102" i="1"/>
  <c r="AD33" i="1"/>
  <c r="AL104" i="1"/>
  <c r="AD35" i="1"/>
  <c r="AD37" i="1"/>
  <c r="AD39" i="1"/>
  <c r="AD41" i="1"/>
  <c r="AK112" i="1"/>
  <c r="AD43" i="1"/>
  <c r="AL114" i="1"/>
  <c r="AD45" i="1"/>
  <c r="AD47" i="1"/>
  <c r="AJ118" i="1"/>
  <c r="AD49" i="1"/>
  <c r="AL120" i="1"/>
  <c r="AD51" i="1"/>
  <c r="AD53" i="1"/>
  <c r="AD55" i="1"/>
  <c r="AD57" i="1"/>
  <c r="AK128" i="1"/>
  <c r="AD59" i="1"/>
  <c r="AD61" i="1"/>
  <c r="AM4" i="1"/>
  <c r="AS75" i="1"/>
  <c r="AM6" i="1"/>
  <c r="AU77" i="1"/>
  <c r="AM8" i="1"/>
  <c r="AM10" i="1"/>
  <c r="AM12" i="1"/>
  <c r="AM14" i="1"/>
  <c r="AT85" i="1"/>
  <c r="AM16" i="1"/>
  <c r="AU87" i="1"/>
  <c r="AM18" i="1"/>
  <c r="AM20" i="1"/>
  <c r="AS91" i="1"/>
  <c r="AM22" i="1"/>
  <c r="AU93" i="1"/>
  <c r="AM24" i="1"/>
  <c r="AP96" i="1"/>
  <c r="AM26" i="1"/>
  <c r="AM28" i="1"/>
  <c r="AM30" i="1"/>
  <c r="AT101" i="1"/>
  <c r="AM32" i="1"/>
  <c r="AM34" i="1"/>
  <c r="AM36" i="1"/>
  <c r="AM38" i="1"/>
  <c r="AU109" i="1"/>
  <c r="AM40" i="1"/>
  <c r="AP112" i="1"/>
  <c r="AM42" i="1"/>
  <c r="AM44" i="1"/>
  <c r="AM46" i="1"/>
  <c r="AT117" i="1"/>
  <c r="AM48" i="1"/>
  <c r="AU119" i="1"/>
  <c r="AM50" i="1"/>
  <c r="AM52" i="1"/>
  <c r="AS123" i="1"/>
  <c r="AM54" i="1"/>
  <c r="AU125" i="1"/>
  <c r="AM56" i="1"/>
  <c r="AP128" i="1"/>
  <c r="AM58" i="1"/>
  <c r="AM60" i="1"/>
  <c r="AM62" i="1"/>
  <c r="AT133" i="1"/>
  <c r="AM5" i="1"/>
  <c r="AM7" i="1"/>
  <c r="AM9" i="1"/>
  <c r="AT80" i="1"/>
  <c r="AM11" i="1"/>
  <c r="AS82" i="1"/>
  <c r="AM13" i="1"/>
  <c r="AS84" i="1"/>
  <c r="AM15" i="1"/>
  <c r="AM17" i="1"/>
  <c r="AM19" i="1"/>
  <c r="AS90" i="1"/>
  <c r="AM21" i="1"/>
  <c r="AM23" i="1"/>
  <c r="AM25" i="1"/>
  <c r="AT96" i="1"/>
  <c r="AM27" i="1"/>
  <c r="AM29" i="1"/>
  <c r="AM31" i="1"/>
  <c r="AM33" i="1"/>
  <c r="AM35" i="1"/>
  <c r="AM37" i="1"/>
  <c r="AM39" i="1"/>
  <c r="AM41" i="1"/>
  <c r="AT112" i="1"/>
  <c r="AM43" i="1"/>
  <c r="AM45" i="1"/>
  <c r="AS116" i="1"/>
  <c r="AM47" i="1"/>
  <c r="AM49" i="1"/>
  <c r="AM51" i="1"/>
  <c r="AM53" i="1"/>
  <c r="AM55" i="1"/>
  <c r="AM57" i="1"/>
  <c r="AM59" i="1"/>
  <c r="AT130" i="1"/>
  <c r="AM61" i="1"/>
  <c r="AV4" i="1"/>
  <c r="AV6" i="1"/>
  <c r="AV8" i="1"/>
  <c r="AY80" i="1"/>
  <c r="AV10" i="1"/>
  <c r="AV12" i="1"/>
  <c r="AV16" i="1"/>
  <c r="AV22" i="1"/>
  <c r="AY94" i="1"/>
  <c r="AV24" i="1"/>
  <c r="AV26" i="1"/>
  <c r="AV28" i="1"/>
  <c r="AV30" i="1"/>
  <c r="AY102" i="1"/>
  <c r="AV32" i="1"/>
  <c r="AV34" i="1"/>
  <c r="AV36" i="1"/>
  <c r="AV38" i="1"/>
  <c r="AY110" i="1"/>
  <c r="AV40" i="1"/>
  <c r="AY112" i="1"/>
  <c r="AV42" i="1"/>
  <c r="AV44" i="1"/>
  <c r="AV46" i="1"/>
  <c r="AY118" i="1"/>
  <c r="AV48" i="1"/>
  <c r="AV50" i="1"/>
  <c r="AV52" i="1"/>
  <c r="AV54" i="1"/>
  <c r="AV56" i="1"/>
  <c r="AY128" i="1"/>
  <c r="AV58" i="1"/>
  <c r="AV60" i="1"/>
  <c r="AV62" i="1"/>
  <c r="BC133" i="1"/>
  <c r="AV5" i="1"/>
  <c r="AV7" i="1"/>
  <c r="BD78" i="1"/>
  <c r="AV9" i="1"/>
  <c r="AV11" i="1"/>
  <c r="AV13" i="1"/>
  <c r="AV15" i="1"/>
  <c r="AV17" i="1"/>
  <c r="AV21" i="1"/>
  <c r="BB92" i="1"/>
  <c r="AV23" i="1"/>
  <c r="AV25" i="1"/>
  <c r="AV27" i="1"/>
  <c r="AV29" i="1"/>
  <c r="BB100" i="1"/>
  <c r="AV31" i="1"/>
  <c r="AV33" i="1"/>
  <c r="AV35" i="1"/>
  <c r="AV37" i="1"/>
  <c r="AV39" i="1"/>
  <c r="BD110" i="1"/>
  <c r="AV41" i="1"/>
  <c r="AV43" i="1"/>
  <c r="AV45" i="1"/>
  <c r="AV47" i="1"/>
  <c r="AV49" i="1"/>
  <c r="AV51" i="1"/>
  <c r="AV53" i="1"/>
  <c r="BB124" i="1"/>
  <c r="AV55" i="1"/>
  <c r="AV57" i="1"/>
  <c r="AV59" i="1"/>
  <c r="AV61" i="1"/>
  <c r="BE4" i="1"/>
  <c r="BH76" i="1"/>
  <c r="BE6" i="1"/>
  <c r="BE8" i="1"/>
  <c r="BM79" i="1"/>
  <c r="BE10" i="1"/>
  <c r="BH82" i="1"/>
  <c r="BE12" i="1"/>
  <c r="BE14" i="1"/>
  <c r="BE16" i="1"/>
  <c r="BE20" i="1"/>
  <c r="BH92" i="1"/>
  <c r="BE22" i="1"/>
  <c r="BE24" i="1"/>
  <c r="BE26" i="1"/>
  <c r="BE28" i="1"/>
  <c r="BH100" i="1"/>
  <c r="BE30" i="1"/>
  <c r="BH102" i="1"/>
  <c r="BE32" i="1"/>
  <c r="BE34" i="1"/>
  <c r="BE36" i="1"/>
  <c r="BH108" i="1"/>
  <c r="BE38" i="1"/>
  <c r="BE40" i="1"/>
  <c r="BE42" i="1"/>
  <c r="BE44" i="1"/>
  <c r="BH116" i="1"/>
  <c r="BE46" i="1"/>
  <c r="BK117" i="1"/>
  <c r="BE48" i="1"/>
  <c r="BE50" i="1"/>
  <c r="BE52" i="1"/>
  <c r="BH124" i="1"/>
  <c r="BE54" i="1"/>
  <c r="BE56" i="1"/>
  <c r="BE58" i="1"/>
  <c r="BE60" i="1"/>
  <c r="BH132" i="1"/>
  <c r="BE62" i="1"/>
  <c r="BE5" i="1"/>
  <c r="BE7" i="1"/>
  <c r="BE9" i="1"/>
  <c r="BE11" i="1"/>
  <c r="BE13" i="1"/>
  <c r="BE15" i="1"/>
  <c r="BE17" i="1"/>
  <c r="BE21" i="1"/>
  <c r="BE23" i="1"/>
  <c r="BE25" i="1"/>
  <c r="BE27" i="1"/>
  <c r="BE29" i="1"/>
  <c r="BE31" i="1"/>
  <c r="BE33" i="1"/>
  <c r="BE35" i="1"/>
  <c r="BE37" i="1"/>
  <c r="BE39" i="1"/>
  <c r="BE41" i="1"/>
  <c r="BE43" i="1"/>
  <c r="BE45" i="1"/>
  <c r="BE47" i="1"/>
  <c r="BE49" i="1"/>
  <c r="BE51" i="1"/>
  <c r="BL122" i="1"/>
  <c r="BE53" i="1"/>
  <c r="BE55" i="1"/>
  <c r="BE57" i="1"/>
  <c r="BE59" i="1"/>
  <c r="BE61" i="1"/>
  <c r="BN4" i="1"/>
  <c r="BN6" i="1"/>
  <c r="BN8" i="1"/>
  <c r="BU79" i="1"/>
  <c r="BN10" i="1"/>
  <c r="BN12" i="1"/>
  <c r="BN14" i="1"/>
  <c r="BU85" i="1"/>
  <c r="BN16" i="1"/>
  <c r="BQ88" i="1"/>
  <c r="BN18" i="1"/>
  <c r="BN20" i="1"/>
  <c r="BN22" i="1"/>
  <c r="BN24" i="1"/>
  <c r="BQ96" i="1"/>
  <c r="BN26" i="1"/>
  <c r="BN28" i="1"/>
  <c r="BN30" i="1"/>
  <c r="BN32" i="1"/>
  <c r="BQ104" i="1"/>
  <c r="BN34" i="1"/>
  <c r="BN36" i="1"/>
  <c r="BN38" i="1"/>
  <c r="BN40" i="1"/>
  <c r="BQ112" i="1"/>
  <c r="BN42" i="1"/>
  <c r="BN44" i="1"/>
  <c r="BN46" i="1"/>
  <c r="BN48" i="1"/>
  <c r="BQ120" i="1"/>
  <c r="BN50" i="1"/>
  <c r="BN52" i="1"/>
  <c r="BN54" i="1"/>
  <c r="BN56" i="1"/>
  <c r="BQ128" i="1"/>
  <c r="BN58" i="1"/>
  <c r="BN60" i="1"/>
  <c r="BN62" i="1"/>
  <c r="BN5" i="1"/>
  <c r="BN7" i="1"/>
  <c r="BN9" i="1"/>
  <c r="BN11" i="1"/>
  <c r="BN13" i="1"/>
  <c r="BN15" i="1"/>
  <c r="BN17" i="1"/>
  <c r="BN19" i="1"/>
  <c r="BN21" i="1"/>
  <c r="BN23" i="1"/>
  <c r="BN25" i="1"/>
  <c r="BN27" i="1"/>
  <c r="BN29" i="1"/>
  <c r="BN31" i="1"/>
  <c r="BN33" i="1"/>
  <c r="BN35" i="1"/>
  <c r="BV106" i="1"/>
  <c r="BN37" i="1"/>
  <c r="BN39" i="1"/>
  <c r="BN41" i="1"/>
  <c r="BN43" i="1"/>
  <c r="BT114" i="1"/>
  <c r="BN45" i="1"/>
  <c r="BN47" i="1"/>
  <c r="BN49" i="1"/>
  <c r="BN51" i="1"/>
  <c r="BN53" i="1"/>
  <c r="BN55" i="1"/>
  <c r="BN57" i="1"/>
  <c r="BN59" i="1"/>
  <c r="BN61" i="1"/>
  <c r="BW4" i="1"/>
  <c r="BW6" i="1"/>
  <c r="BW8" i="1"/>
  <c r="BW10" i="1"/>
  <c r="BZ82" i="1"/>
  <c r="BW12" i="1"/>
  <c r="BW14" i="1"/>
  <c r="BW16" i="1"/>
  <c r="BW18" i="1"/>
  <c r="BZ90" i="1"/>
  <c r="BW20" i="1"/>
  <c r="BW22" i="1"/>
  <c r="BW24" i="1"/>
  <c r="BW26" i="1"/>
  <c r="BZ98" i="1"/>
  <c r="BW28" i="1"/>
  <c r="BW30" i="1"/>
  <c r="BW32" i="1"/>
  <c r="BW34" i="1"/>
  <c r="EH34" i="1"/>
  <c r="H173" i="1"/>
  <c r="BW36" i="1"/>
  <c r="CC107" i="1"/>
  <c r="BW38" i="1"/>
  <c r="BW40" i="1"/>
  <c r="BW42" i="1"/>
  <c r="BZ114" i="1"/>
  <c r="BW44" i="1"/>
  <c r="BW46" i="1"/>
  <c r="BW48" i="1"/>
  <c r="BW50" i="1"/>
  <c r="BZ122" i="1"/>
  <c r="BW52" i="1"/>
  <c r="BW54" i="1"/>
  <c r="BW56" i="1"/>
  <c r="BW58" i="1"/>
  <c r="BZ130" i="1"/>
  <c r="BW60" i="1"/>
  <c r="BW62" i="1"/>
  <c r="BW5" i="1"/>
  <c r="CD76" i="1"/>
  <c r="BW7" i="1"/>
  <c r="BW9" i="1"/>
  <c r="BW11" i="1"/>
  <c r="BW13" i="1"/>
  <c r="BW15" i="1"/>
  <c r="BW17" i="1"/>
  <c r="BW19" i="1"/>
  <c r="BW21" i="1"/>
  <c r="BW23" i="1"/>
  <c r="BW25" i="1"/>
  <c r="BW27" i="1"/>
  <c r="BW29" i="1"/>
  <c r="BW31" i="1"/>
  <c r="BW33" i="1"/>
  <c r="BW35" i="1"/>
  <c r="BW37" i="1"/>
  <c r="BW39" i="1"/>
  <c r="BW41" i="1"/>
  <c r="BW43" i="1"/>
  <c r="BW45" i="1"/>
  <c r="BW47" i="1"/>
  <c r="BW49" i="1"/>
  <c r="BW51" i="1"/>
  <c r="BW53" i="1"/>
  <c r="BW55" i="1"/>
  <c r="BW57" i="1"/>
  <c r="BW59" i="1"/>
  <c r="BW61" i="1"/>
  <c r="CF4" i="1"/>
  <c r="CF6" i="1"/>
  <c r="CF8" i="1"/>
  <c r="CF10" i="1"/>
  <c r="CF12" i="1"/>
  <c r="CI84" i="1"/>
  <c r="CF14" i="1"/>
  <c r="CF16" i="1"/>
  <c r="CF18" i="1"/>
  <c r="CF20" i="1"/>
  <c r="CI92" i="1"/>
  <c r="CF22" i="1"/>
  <c r="CF24" i="1"/>
  <c r="CF26" i="1"/>
  <c r="CF28" i="1"/>
  <c r="CF30" i="1"/>
  <c r="CF32" i="1"/>
  <c r="CF34" i="1"/>
  <c r="CF36" i="1"/>
  <c r="CI108" i="1"/>
  <c r="CF38" i="1"/>
  <c r="CF40" i="1"/>
  <c r="CF42" i="1"/>
  <c r="CF44" i="1"/>
  <c r="CN115" i="1"/>
  <c r="CF46" i="1"/>
  <c r="CF48" i="1"/>
  <c r="CF50" i="1"/>
  <c r="CF52" i="1"/>
  <c r="CI124" i="1"/>
  <c r="CF54" i="1"/>
  <c r="CF56" i="1"/>
  <c r="CF58" i="1"/>
  <c r="CF60" i="1"/>
  <c r="CF62" i="1"/>
  <c r="CF5" i="1"/>
  <c r="CF7" i="1"/>
  <c r="CF9" i="1"/>
  <c r="CF11" i="1"/>
  <c r="CF13" i="1"/>
  <c r="CF15" i="1"/>
  <c r="CF17" i="1"/>
  <c r="CF19" i="1"/>
  <c r="CF21" i="1"/>
  <c r="CF23" i="1"/>
  <c r="CF25" i="1"/>
  <c r="CF27" i="1"/>
  <c r="CF29" i="1"/>
  <c r="CF31" i="1"/>
  <c r="CF33" i="1"/>
  <c r="CF35" i="1"/>
  <c r="CF37" i="1"/>
  <c r="CF39" i="1"/>
  <c r="CF41" i="1"/>
  <c r="CF43" i="1"/>
  <c r="CF45" i="1"/>
  <c r="CF47" i="1"/>
  <c r="CF49" i="1"/>
  <c r="CF51" i="1"/>
  <c r="CF53" i="1"/>
  <c r="CF55" i="1"/>
  <c r="CF57" i="1"/>
  <c r="CF59" i="1"/>
  <c r="CF61" i="1"/>
  <c r="CO4" i="1"/>
  <c r="CO6" i="1"/>
  <c r="CO8" i="1"/>
  <c r="CO10" i="1"/>
  <c r="CO12" i="1"/>
  <c r="CO14" i="1"/>
  <c r="CV85" i="1"/>
  <c r="CO16" i="1"/>
  <c r="CO18" i="1"/>
  <c r="CO20" i="1"/>
  <c r="CO22" i="1"/>
  <c r="CO24" i="1"/>
  <c r="CO26" i="1"/>
  <c r="CO28" i="1"/>
  <c r="CO30" i="1"/>
  <c r="CR102" i="1"/>
  <c r="CO32" i="1"/>
  <c r="CO34" i="1"/>
  <c r="CO36" i="1"/>
  <c r="CO38" i="1"/>
  <c r="CO40" i="1"/>
  <c r="CO42" i="1"/>
  <c r="CO44" i="1"/>
  <c r="CO46" i="1"/>
  <c r="CR118" i="1"/>
  <c r="CO48" i="1"/>
  <c r="CO50" i="1"/>
  <c r="CO52" i="1"/>
  <c r="CO54" i="1"/>
  <c r="CO56" i="1"/>
  <c r="CO58" i="1"/>
  <c r="CO60" i="1"/>
  <c r="CO62" i="1"/>
  <c r="CR134" i="1"/>
  <c r="CO5" i="1"/>
  <c r="CO7" i="1"/>
  <c r="CO9" i="1"/>
  <c r="CO11" i="1"/>
  <c r="CO13" i="1"/>
  <c r="CO15" i="1"/>
  <c r="CO17" i="1"/>
  <c r="CO19" i="1"/>
  <c r="CO21" i="1"/>
  <c r="CO23" i="1"/>
  <c r="CO25" i="1"/>
  <c r="CO27" i="1"/>
  <c r="CO29" i="1"/>
  <c r="CO31" i="1"/>
  <c r="CO33" i="1"/>
  <c r="CO35" i="1"/>
  <c r="CO37" i="1"/>
  <c r="CO39" i="1"/>
  <c r="CO41" i="1"/>
  <c r="CO43" i="1"/>
  <c r="CO45" i="1"/>
  <c r="CO47" i="1"/>
  <c r="CO49" i="1"/>
  <c r="CO51" i="1"/>
  <c r="CO53" i="1"/>
  <c r="CO55" i="1"/>
  <c r="CO57" i="1"/>
  <c r="CO59" i="1"/>
  <c r="CO61" i="1"/>
  <c r="CX4" i="1"/>
  <c r="CX6" i="1"/>
  <c r="CX8" i="1"/>
  <c r="DA80" i="1"/>
  <c r="CX10" i="1"/>
  <c r="CX12" i="1"/>
  <c r="CX14" i="1"/>
  <c r="CX16" i="1"/>
  <c r="CX18" i="1"/>
  <c r="CX20" i="1"/>
  <c r="CX22" i="1"/>
  <c r="CX24" i="1"/>
  <c r="DA96" i="1"/>
  <c r="CX26" i="1"/>
  <c r="CX28" i="1"/>
  <c r="CX30" i="1"/>
  <c r="CX32" i="1"/>
  <c r="CX34" i="1"/>
  <c r="CX36" i="1"/>
  <c r="CX38" i="1"/>
  <c r="CX40" i="1"/>
  <c r="DA112" i="1"/>
  <c r="CX42" i="1"/>
  <c r="CX44" i="1"/>
  <c r="CX46" i="1"/>
  <c r="CX48" i="1"/>
  <c r="CX50" i="1"/>
  <c r="CX52" i="1"/>
  <c r="CX54" i="1"/>
  <c r="CX56" i="1"/>
  <c r="DA128" i="1"/>
  <c r="CX58" i="1"/>
  <c r="CX60" i="1"/>
  <c r="CX62" i="1"/>
  <c r="CX5" i="1"/>
  <c r="CX7" i="1"/>
  <c r="CX9" i="1"/>
  <c r="CX11" i="1"/>
  <c r="CX13" i="1"/>
  <c r="CX15" i="1"/>
  <c r="CX17" i="1"/>
  <c r="CX19" i="1"/>
  <c r="CX21" i="1"/>
  <c r="CX23" i="1"/>
  <c r="CX25" i="1"/>
  <c r="CX27" i="1"/>
  <c r="CX29" i="1"/>
  <c r="CX31" i="1"/>
  <c r="CX33" i="1"/>
  <c r="CX35" i="1"/>
  <c r="CX37" i="1"/>
  <c r="CX39" i="1"/>
  <c r="CX41" i="1"/>
  <c r="CX43" i="1"/>
  <c r="CX45" i="1"/>
  <c r="CX47" i="1"/>
  <c r="CX49" i="1"/>
  <c r="CX51" i="1"/>
  <c r="CX53" i="1"/>
  <c r="CX55" i="1"/>
  <c r="CX57" i="1"/>
  <c r="CX59" i="1"/>
  <c r="CX61" i="1"/>
  <c r="DG4" i="1"/>
  <c r="DG6" i="1"/>
  <c r="DG8" i="1"/>
  <c r="DG10" i="1"/>
  <c r="DG12" i="1"/>
  <c r="DG14" i="1"/>
  <c r="DP14" i="1"/>
  <c r="DY14" i="1"/>
  <c r="DG16" i="1"/>
  <c r="DG18" i="1"/>
  <c r="DG20" i="1"/>
  <c r="DG22" i="1"/>
  <c r="DJ94" i="1"/>
  <c r="DG24" i="1"/>
  <c r="DG26" i="1"/>
  <c r="DG28" i="1"/>
  <c r="DG30" i="1"/>
  <c r="DJ102" i="1"/>
  <c r="DG32" i="1"/>
  <c r="DG34" i="1"/>
  <c r="DG36" i="1"/>
  <c r="DG38" i="1"/>
  <c r="DJ110" i="1"/>
  <c r="DG40" i="1"/>
  <c r="DG42" i="1"/>
  <c r="DG44" i="1"/>
  <c r="DG46" i="1"/>
  <c r="DJ118" i="1"/>
  <c r="DG48" i="1"/>
  <c r="DG50" i="1"/>
  <c r="DG52" i="1"/>
  <c r="DG54" i="1"/>
  <c r="DG56" i="1"/>
  <c r="DG58" i="1"/>
  <c r="DG60" i="1"/>
  <c r="DG62" i="1"/>
  <c r="DJ134" i="1"/>
  <c r="DG5" i="1"/>
  <c r="DG7" i="1"/>
  <c r="DG9" i="1"/>
  <c r="DG11" i="1"/>
  <c r="DG13" i="1"/>
  <c r="DG15" i="1"/>
  <c r="DG17" i="1"/>
  <c r="DG19" i="1"/>
  <c r="DG21" i="1"/>
  <c r="DG23" i="1"/>
  <c r="DG25" i="1"/>
  <c r="DG27" i="1"/>
  <c r="DG29" i="1"/>
  <c r="DG31" i="1"/>
  <c r="DG33" i="1"/>
  <c r="DG35" i="1"/>
  <c r="DG37" i="1"/>
  <c r="DG39" i="1"/>
  <c r="DG41" i="1"/>
  <c r="DG43" i="1"/>
  <c r="DG45" i="1"/>
  <c r="DG47" i="1"/>
  <c r="DG49" i="1"/>
  <c r="DG51" i="1"/>
  <c r="DG53" i="1"/>
  <c r="DG55" i="1"/>
  <c r="DG57" i="1"/>
  <c r="DG59" i="1"/>
  <c r="DG61" i="1"/>
  <c r="DP4" i="1"/>
  <c r="DP6" i="1"/>
  <c r="DP8" i="1"/>
  <c r="DS80" i="1"/>
  <c r="DP10" i="1"/>
  <c r="DP12" i="1"/>
  <c r="DP16" i="1"/>
  <c r="DP18" i="1"/>
  <c r="DS90" i="1"/>
  <c r="DP20" i="1"/>
  <c r="DP22" i="1"/>
  <c r="DP24" i="1"/>
  <c r="DP26" i="1"/>
  <c r="DS98" i="1"/>
  <c r="DP28" i="1"/>
  <c r="DP30" i="1"/>
  <c r="DP32" i="1"/>
  <c r="DP34" i="1"/>
  <c r="DS106" i="1"/>
  <c r="DP36" i="1"/>
  <c r="DP38" i="1"/>
  <c r="DP40" i="1"/>
  <c r="DP42" i="1"/>
  <c r="DS114" i="1"/>
  <c r="DP44" i="1"/>
  <c r="DP46" i="1"/>
  <c r="DP48" i="1"/>
  <c r="DP50" i="1"/>
  <c r="DS122" i="1"/>
  <c r="DP52" i="1"/>
  <c r="DP54" i="1"/>
  <c r="DP56" i="1"/>
  <c r="DP58" i="1"/>
  <c r="DS130" i="1"/>
  <c r="DP60" i="1"/>
  <c r="DP62" i="1"/>
  <c r="DP5" i="1"/>
  <c r="DP7" i="1"/>
  <c r="DP9" i="1"/>
  <c r="DP11" i="1"/>
  <c r="DP13" i="1"/>
  <c r="DP15" i="1"/>
  <c r="DP17" i="1"/>
  <c r="DP19" i="1"/>
  <c r="DP21" i="1"/>
  <c r="DP23" i="1"/>
  <c r="DP25" i="1"/>
  <c r="DP27" i="1"/>
  <c r="DP29" i="1"/>
  <c r="DP31" i="1"/>
  <c r="DP33" i="1"/>
  <c r="DP35" i="1"/>
  <c r="DS107" i="1"/>
  <c r="DP37" i="1"/>
  <c r="DP39" i="1"/>
  <c r="DP41" i="1"/>
  <c r="DP43" i="1"/>
  <c r="DP45" i="1"/>
  <c r="DP47" i="1"/>
  <c r="DP49" i="1"/>
  <c r="DP51" i="1"/>
  <c r="DP53" i="1"/>
  <c r="DP55" i="1"/>
  <c r="DP57" i="1"/>
  <c r="DP59" i="1"/>
  <c r="DS131" i="1"/>
  <c r="DP61" i="1"/>
  <c r="DY4" i="1"/>
  <c r="EB76" i="1"/>
  <c r="DY6" i="1"/>
  <c r="DY8" i="1"/>
  <c r="DY10" i="1"/>
  <c r="DY12" i="1"/>
  <c r="DY16" i="1"/>
  <c r="DY18" i="1"/>
  <c r="DY20" i="1"/>
  <c r="DY22" i="1"/>
  <c r="EB94" i="1"/>
  <c r="DY24" i="1"/>
  <c r="DY26" i="1"/>
  <c r="DY28" i="1"/>
  <c r="DY30" i="1"/>
  <c r="DY32" i="1"/>
  <c r="DY34" i="1"/>
  <c r="DY36" i="1"/>
  <c r="DY38" i="1"/>
  <c r="EB110" i="1"/>
  <c r="DY40" i="1"/>
  <c r="DY42" i="1"/>
  <c r="DY44" i="1"/>
  <c r="DY46" i="1"/>
  <c r="DY48" i="1"/>
  <c r="DY50" i="1"/>
  <c r="DY52" i="1"/>
  <c r="DY54" i="1"/>
  <c r="EB126" i="1"/>
  <c r="DY56" i="1"/>
  <c r="DY58" i="1"/>
  <c r="DY60" i="1"/>
  <c r="DY62" i="1"/>
  <c r="DY5" i="1"/>
  <c r="DY7" i="1"/>
  <c r="DY9" i="1"/>
  <c r="DY11" i="1"/>
  <c r="DY13" i="1"/>
  <c r="DY15" i="1"/>
  <c r="DY17" i="1"/>
  <c r="DY19" i="1"/>
  <c r="DY21" i="1"/>
  <c r="DY23" i="1"/>
  <c r="DY25" i="1"/>
  <c r="DY27" i="1"/>
  <c r="DY29" i="1"/>
  <c r="DY31" i="1"/>
  <c r="DY33" i="1"/>
  <c r="DY35" i="1"/>
  <c r="DY37" i="1"/>
  <c r="DY39" i="1"/>
  <c r="DY41" i="1"/>
  <c r="DY43" i="1"/>
  <c r="DY45" i="1"/>
  <c r="DY47" i="1"/>
  <c r="DY49" i="1"/>
  <c r="DY51" i="1"/>
  <c r="DY53" i="1"/>
  <c r="DY55" i="1"/>
  <c r="DY57" i="1"/>
  <c r="DY59" i="1"/>
  <c r="DY61" i="1"/>
  <c r="F63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F88" i="1"/>
  <c r="F102" i="1"/>
  <c r="F104" i="1"/>
  <c r="F106" i="1"/>
  <c r="F110" i="1"/>
  <c r="F112" i="1"/>
  <c r="F122" i="1"/>
  <c r="F128" i="1"/>
  <c r="F132" i="1"/>
  <c r="F134" i="1"/>
  <c r="F77" i="1"/>
  <c r="F79" i="1"/>
  <c r="F81" i="1"/>
  <c r="F83" i="1"/>
  <c r="F85" i="1"/>
  <c r="F87" i="1"/>
  <c r="F89" i="1"/>
  <c r="F91" i="1"/>
  <c r="F93" i="1"/>
  <c r="F95" i="1"/>
  <c r="F97" i="1"/>
  <c r="F99" i="1"/>
  <c r="F101" i="1"/>
  <c r="F103" i="1"/>
  <c r="F105" i="1"/>
  <c r="F107" i="1"/>
  <c r="F109" i="1"/>
  <c r="F113" i="1"/>
  <c r="F115" i="1"/>
  <c r="F117" i="1"/>
  <c r="F119" i="1"/>
  <c r="F121" i="1"/>
  <c r="F123" i="1"/>
  <c r="F125" i="1"/>
  <c r="F127" i="1"/>
  <c r="F129" i="1"/>
  <c r="F131" i="1"/>
  <c r="F133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EJ4" i="1"/>
  <c r="EI14" i="1"/>
  <c r="EJ14" i="1"/>
  <c r="EK14" i="1"/>
  <c r="EL14" i="1"/>
  <c r="EI16" i="1"/>
  <c r="EJ16" i="1"/>
  <c r="EK16" i="1"/>
  <c r="EL16" i="1"/>
  <c r="EI18" i="1"/>
  <c r="EJ18" i="1"/>
  <c r="EK18" i="1"/>
  <c r="EL18" i="1"/>
  <c r="EI20" i="1"/>
  <c r="EJ20" i="1"/>
  <c r="EK20" i="1"/>
  <c r="EL20" i="1"/>
  <c r="EI22" i="1"/>
  <c r="EJ22" i="1"/>
  <c r="EK22" i="1"/>
  <c r="EL22" i="1"/>
  <c r="EI24" i="1"/>
  <c r="EJ24" i="1"/>
  <c r="EK24" i="1"/>
  <c r="EL24" i="1"/>
  <c r="EI26" i="1"/>
  <c r="EJ26" i="1"/>
  <c r="EK26" i="1"/>
  <c r="EL26" i="1"/>
  <c r="EI28" i="1"/>
  <c r="EJ28" i="1"/>
  <c r="EK28" i="1"/>
  <c r="EL28" i="1"/>
  <c r="EI30" i="1"/>
  <c r="EJ30" i="1"/>
  <c r="EK30" i="1"/>
  <c r="EL30" i="1"/>
  <c r="EI32" i="1"/>
  <c r="EJ32" i="1"/>
  <c r="EK32" i="1"/>
  <c r="EL32" i="1"/>
  <c r="EI34" i="1"/>
  <c r="EJ34" i="1"/>
  <c r="EK34" i="1"/>
  <c r="EL34" i="1"/>
  <c r="EI36" i="1"/>
  <c r="EJ36" i="1"/>
  <c r="EK36" i="1"/>
  <c r="EL36" i="1"/>
  <c r="EI38" i="1"/>
  <c r="EJ38" i="1"/>
  <c r="EK38" i="1"/>
  <c r="EL38" i="1"/>
  <c r="EI40" i="1"/>
  <c r="EJ40" i="1"/>
  <c r="EK40" i="1"/>
  <c r="EL40" i="1"/>
  <c r="EI42" i="1"/>
  <c r="EJ42" i="1"/>
  <c r="EK42" i="1"/>
  <c r="EL42" i="1"/>
  <c r="EI44" i="1"/>
  <c r="EJ44" i="1"/>
  <c r="EK44" i="1"/>
  <c r="EL44" i="1"/>
  <c r="EI46" i="1"/>
  <c r="EJ46" i="1"/>
  <c r="EK46" i="1"/>
  <c r="EL46" i="1"/>
  <c r="EI48" i="1"/>
  <c r="EJ48" i="1"/>
  <c r="EK48" i="1"/>
  <c r="EL48" i="1"/>
  <c r="EI50" i="1"/>
  <c r="EJ50" i="1"/>
  <c r="EK50" i="1"/>
  <c r="EL50" i="1"/>
  <c r="EI52" i="1"/>
  <c r="EJ52" i="1"/>
  <c r="EK52" i="1"/>
  <c r="EL52" i="1"/>
  <c r="EI54" i="1"/>
  <c r="EJ54" i="1"/>
  <c r="EK54" i="1"/>
  <c r="EL54" i="1"/>
  <c r="EI56" i="1"/>
  <c r="EJ56" i="1"/>
  <c r="EK56" i="1"/>
  <c r="EL56" i="1"/>
  <c r="EI58" i="1"/>
  <c r="EJ58" i="1"/>
  <c r="EK58" i="1"/>
  <c r="EL58" i="1"/>
  <c r="EI60" i="1"/>
  <c r="EJ60" i="1"/>
  <c r="EK60" i="1"/>
  <c r="EL60" i="1"/>
  <c r="EI62" i="1"/>
  <c r="EJ62" i="1"/>
  <c r="EK62" i="1"/>
  <c r="EL62" i="1"/>
  <c r="EJ9" i="1"/>
  <c r="B14" i="6"/>
  <c r="C14" i="6"/>
  <c r="B15" i="6"/>
  <c r="C15" i="6"/>
  <c r="B16" i="6"/>
  <c r="C16" i="6"/>
  <c r="B17" i="6"/>
  <c r="C17" i="6"/>
  <c r="B18" i="6"/>
  <c r="C18" i="6"/>
  <c r="B19" i="6"/>
  <c r="C19" i="6"/>
  <c r="B20" i="6"/>
  <c r="C20" i="6"/>
  <c r="B21" i="6"/>
  <c r="C21" i="6"/>
  <c r="B22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B64" i="6"/>
  <c r="C64" i="6"/>
  <c r="B65" i="6"/>
  <c r="C65" i="6"/>
  <c r="B66" i="6"/>
  <c r="C66" i="6"/>
  <c r="B67" i="6"/>
  <c r="C67" i="6"/>
  <c r="B68" i="6"/>
  <c r="C68" i="6"/>
  <c r="B69" i="6"/>
  <c r="C69" i="6"/>
  <c r="B70" i="6"/>
  <c r="C70" i="6"/>
  <c r="B71" i="6"/>
  <c r="C71" i="6"/>
  <c r="B72" i="6"/>
  <c r="C72" i="6"/>
  <c r="C6" i="6"/>
  <c r="B6" i="6"/>
  <c r="Q12" i="6"/>
  <c r="S12" i="6"/>
  <c r="T12" i="6"/>
  <c r="P12" i="6"/>
  <c r="EI6" i="1"/>
  <c r="EJ6" i="1"/>
  <c r="EK6" i="1"/>
  <c r="EL6" i="1"/>
  <c r="EI8" i="1"/>
  <c r="EJ8" i="1"/>
  <c r="EK8" i="1"/>
  <c r="EL8" i="1"/>
  <c r="EL9" i="1"/>
  <c r="EI10" i="1"/>
  <c r="EJ10" i="1"/>
  <c r="EK10" i="1"/>
  <c r="EL10" i="1"/>
  <c r="EI12" i="1"/>
  <c r="EJ12" i="1"/>
  <c r="EK12" i="1"/>
  <c r="EL12" i="1"/>
  <c r="EI4" i="1"/>
  <c r="EK4" i="1"/>
  <c r="EL4" i="1"/>
  <c r="EO62" i="1"/>
  <c r="EN62" i="1"/>
  <c r="EM62" i="1"/>
  <c r="B72" i="7"/>
  <c r="EO61" i="1"/>
  <c r="EN61" i="1"/>
  <c r="EM61" i="1"/>
  <c r="EL61" i="1"/>
  <c r="EK61" i="1"/>
  <c r="EJ61" i="1"/>
  <c r="EI61" i="1"/>
  <c r="B71" i="7"/>
  <c r="EO60" i="1"/>
  <c r="EN60" i="1"/>
  <c r="EM60" i="1"/>
  <c r="B70" i="7"/>
  <c r="EO59" i="1"/>
  <c r="EN59" i="1"/>
  <c r="EM59" i="1"/>
  <c r="EL59" i="1"/>
  <c r="EK59" i="1"/>
  <c r="EJ59" i="1"/>
  <c r="EI59" i="1"/>
  <c r="B69" i="7"/>
  <c r="EO58" i="1"/>
  <c r="EN58" i="1"/>
  <c r="EM58" i="1"/>
  <c r="B68" i="7"/>
  <c r="EO57" i="1"/>
  <c r="EN57" i="1"/>
  <c r="EM57" i="1"/>
  <c r="EL57" i="1"/>
  <c r="EK57" i="1"/>
  <c r="EJ57" i="1"/>
  <c r="EI57" i="1"/>
  <c r="B67" i="7"/>
  <c r="EO56" i="1"/>
  <c r="EN56" i="1"/>
  <c r="EM56" i="1"/>
  <c r="B66" i="7"/>
  <c r="EO55" i="1"/>
  <c r="EN55" i="1"/>
  <c r="EM55" i="1"/>
  <c r="EL55" i="1"/>
  <c r="EK55" i="1"/>
  <c r="EJ55" i="1"/>
  <c r="EI55" i="1"/>
  <c r="B65" i="7"/>
  <c r="EO54" i="1"/>
  <c r="EN54" i="1"/>
  <c r="EM54" i="1"/>
  <c r="B64" i="7"/>
  <c r="EO53" i="1"/>
  <c r="EN53" i="1"/>
  <c r="EM53" i="1"/>
  <c r="EL53" i="1"/>
  <c r="EK53" i="1"/>
  <c r="EJ53" i="1"/>
  <c r="EI53" i="1"/>
  <c r="B63" i="7"/>
  <c r="EO52" i="1"/>
  <c r="EN52" i="1"/>
  <c r="EM52" i="1"/>
  <c r="B62" i="7"/>
  <c r="EO51" i="1"/>
  <c r="EN51" i="1"/>
  <c r="EM51" i="1"/>
  <c r="EL51" i="1"/>
  <c r="EK51" i="1"/>
  <c r="EJ51" i="1"/>
  <c r="EI51" i="1"/>
  <c r="B61" i="7"/>
  <c r="EO50" i="1"/>
  <c r="EN50" i="1"/>
  <c r="EM50" i="1"/>
  <c r="B60" i="7"/>
  <c r="EO49" i="1"/>
  <c r="EN49" i="1"/>
  <c r="EM49" i="1"/>
  <c r="EL49" i="1"/>
  <c r="EK49" i="1"/>
  <c r="EJ49" i="1"/>
  <c r="EI49" i="1"/>
  <c r="B59" i="7"/>
  <c r="EO48" i="1"/>
  <c r="EN48" i="1"/>
  <c r="EM48" i="1"/>
  <c r="B58" i="7"/>
  <c r="EO47" i="1"/>
  <c r="EN47" i="1"/>
  <c r="EM47" i="1"/>
  <c r="EL47" i="1"/>
  <c r="EK47" i="1"/>
  <c r="EJ47" i="1"/>
  <c r="EI47" i="1"/>
  <c r="B57" i="7"/>
  <c r="EO46" i="1"/>
  <c r="EN46" i="1"/>
  <c r="EM46" i="1"/>
  <c r="B56" i="7"/>
  <c r="EO45" i="1"/>
  <c r="EN45" i="1"/>
  <c r="EM45" i="1"/>
  <c r="EL45" i="1"/>
  <c r="EK45" i="1"/>
  <c r="EJ45" i="1"/>
  <c r="EI45" i="1"/>
  <c r="B55" i="7"/>
  <c r="EO44" i="1"/>
  <c r="EN44" i="1"/>
  <c r="EM44" i="1"/>
  <c r="B54" i="7"/>
  <c r="EO43" i="1"/>
  <c r="EN43" i="1"/>
  <c r="EM43" i="1"/>
  <c r="EL43" i="1"/>
  <c r="EK43" i="1"/>
  <c r="EJ43" i="1"/>
  <c r="EI43" i="1"/>
  <c r="B53" i="7"/>
  <c r="EO42" i="1"/>
  <c r="EN42" i="1"/>
  <c r="EM42" i="1"/>
  <c r="B52" i="7"/>
  <c r="EO41" i="1"/>
  <c r="EN41" i="1"/>
  <c r="EM41" i="1"/>
  <c r="EL41" i="1"/>
  <c r="EK41" i="1"/>
  <c r="EJ41" i="1"/>
  <c r="EI41" i="1"/>
  <c r="B51" i="7"/>
  <c r="EO40" i="1"/>
  <c r="EN40" i="1"/>
  <c r="B50" i="7"/>
  <c r="EO39" i="1"/>
  <c r="EN39" i="1"/>
  <c r="EM39" i="1"/>
  <c r="EL39" i="1"/>
  <c r="EK39" i="1"/>
  <c r="EJ39" i="1"/>
  <c r="EI39" i="1"/>
  <c r="B49" i="7"/>
  <c r="EO38" i="1"/>
  <c r="EN38" i="1"/>
  <c r="EM38" i="1"/>
  <c r="B48" i="7"/>
  <c r="EO37" i="1"/>
  <c r="EN37" i="1"/>
  <c r="EM37" i="1"/>
  <c r="EL37" i="1"/>
  <c r="EK37" i="1"/>
  <c r="EJ37" i="1"/>
  <c r="EI37" i="1"/>
  <c r="B47" i="7"/>
  <c r="EO36" i="1"/>
  <c r="EN36" i="1"/>
  <c r="EM36" i="1"/>
  <c r="B46" i="7"/>
  <c r="EO35" i="1"/>
  <c r="EN35" i="1"/>
  <c r="EM35" i="1"/>
  <c r="EL35" i="1"/>
  <c r="EK35" i="1"/>
  <c r="EJ35" i="1"/>
  <c r="EI35" i="1"/>
  <c r="B45" i="7"/>
  <c r="EO34" i="1"/>
  <c r="EN34" i="1"/>
  <c r="EM34" i="1"/>
  <c r="B44" i="7"/>
  <c r="EO33" i="1"/>
  <c r="EN33" i="1"/>
  <c r="EM33" i="1"/>
  <c r="EL33" i="1"/>
  <c r="EK33" i="1"/>
  <c r="EJ33" i="1"/>
  <c r="EI33" i="1"/>
  <c r="B43" i="7"/>
  <c r="EO32" i="1"/>
  <c r="EN32" i="1"/>
  <c r="EM32" i="1"/>
  <c r="B42" i="7"/>
  <c r="EO31" i="1"/>
  <c r="EN31" i="1"/>
  <c r="EM31" i="1"/>
  <c r="EL31" i="1"/>
  <c r="EK31" i="1"/>
  <c r="EJ31" i="1"/>
  <c r="EI31" i="1"/>
  <c r="B41" i="7"/>
  <c r="EO30" i="1"/>
  <c r="EN30" i="1"/>
  <c r="EM30" i="1"/>
  <c r="B40" i="7"/>
  <c r="EO29" i="1"/>
  <c r="EN29" i="1"/>
  <c r="EM29" i="1"/>
  <c r="EL29" i="1"/>
  <c r="EK29" i="1"/>
  <c r="EJ29" i="1"/>
  <c r="EI29" i="1"/>
  <c r="B39" i="7"/>
  <c r="EO28" i="1"/>
  <c r="EN28" i="1"/>
  <c r="EM28" i="1"/>
  <c r="B38" i="7"/>
  <c r="EO27" i="1"/>
  <c r="EN27" i="1"/>
  <c r="EM27" i="1"/>
  <c r="EL27" i="1"/>
  <c r="EK27" i="1"/>
  <c r="EJ27" i="1"/>
  <c r="EI27" i="1"/>
  <c r="B37" i="7"/>
  <c r="EO26" i="1"/>
  <c r="EN26" i="1"/>
  <c r="EM26" i="1"/>
  <c r="B36" i="7"/>
  <c r="EO25" i="1"/>
  <c r="EN25" i="1"/>
  <c r="EM25" i="1"/>
  <c r="EL25" i="1"/>
  <c r="EK25" i="1"/>
  <c r="EJ25" i="1"/>
  <c r="EI25" i="1"/>
  <c r="B35" i="7"/>
  <c r="EO24" i="1"/>
  <c r="EN24" i="1"/>
  <c r="EM24" i="1"/>
  <c r="B34" i="7"/>
  <c r="EO23" i="1"/>
  <c r="EN23" i="1"/>
  <c r="EM23" i="1"/>
  <c r="EL23" i="1"/>
  <c r="EK23" i="1"/>
  <c r="EJ23" i="1"/>
  <c r="EI23" i="1"/>
  <c r="B33" i="7"/>
  <c r="EO22" i="1"/>
  <c r="EN22" i="1"/>
  <c r="EM22" i="1"/>
  <c r="B32" i="7"/>
  <c r="EO21" i="1"/>
  <c r="EN21" i="1"/>
  <c r="EM21" i="1"/>
  <c r="EL21" i="1"/>
  <c r="EK21" i="1"/>
  <c r="EJ21" i="1"/>
  <c r="EI21" i="1"/>
  <c r="B31" i="7"/>
  <c r="EO20" i="1"/>
  <c r="EN20" i="1"/>
  <c r="EM20" i="1"/>
  <c r="B30" i="7"/>
  <c r="EO19" i="1"/>
  <c r="EN19" i="1"/>
  <c r="EM19" i="1"/>
  <c r="EL19" i="1"/>
  <c r="EK19" i="1"/>
  <c r="EJ19" i="1"/>
  <c r="EI19" i="1"/>
  <c r="B29" i="7"/>
  <c r="EO18" i="1"/>
  <c r="EN18" i="1"/>
  <c r="EM18" i="1"/>
  <c r="B28" i="7"/>
  <c r="EO17" i="1"/>
  <c r="EN17" i="1"/>
  <c r="EM17" i="1"/>
  <c r="EL17" i="1"/>
  <c r="EK17" i="1"/>
  <c r="EJ17" i="1"/>
  <c r="EI17" i="1"/>
  <c r="B27" i="7"/>
  <c r="EO16" i="1"/>
  <c r="EN16" i="1"/>
  <c r="EM16" i="1"/>
  <c r="B26" i="7"/>
  <c r="EO15" i="1"/>
  <c r="EN15" i="1"/>
  <c r="EM15" i="1"/>
  <c r="EL15" i="1"/>
  <c r="EK15" i="1"/>
  <c r="EJ15" i="1"/>
  <c r="EI15" i="1"/>
  <c r="B25" i="7"/>
  <c r="EO14" i="1"/>
  <c r="EN14" i="1"/>
  <c r="EM14" i="1"/>
  <c r="B24" i="7"/>
  <c r="EO13" i="1"/>
  <c r="EN13" i="1"/>
  <c r="EM13" i="1"/>
  <c r="EL13" i="1"/>
  <c r="EK13" i="1"/>
  <c r="EJ13" i="1"/>
  <c r="EI13" i="1"/>
  <c r="B23" i="7"/>
  <c r="EO12" i="1"/>
  <c r="EN12" i="1"/>
  <c r="EM12" i="1"/>
  <c r="B22" i="7"/>
  <c r="EO11" i="1"/>
  <c r="EN11" i="1"/>
  <c r="EM11" i="1"/>
  <c r="EL11" i="1"/>
  <c r="EK11" i="1"/>
  <c r="EJ11" i="1"/>
  <c r="EI11" i="1"/>
  <c r="B21" i="7"/>
  <c r="EO10" i="1"/>
  <c r="EN10" i="1"/>
  <c r="EM10" i="1"/>
  <c r="B20" i="7"/>
  <c r="EO9" i="1"/>
  <c r="EN9" i="1"/>
  <c r="EM9" i="1"/>
  <c r="EK9" i="1"/>
  <c r="EI9" i="1"/>
  <c r="B19" i="7"/>
  <c r="EO8" i="1"/>
  <c r="EN8" i="1"/>
  <c r="EM8" i="1"/>
  <c r="B18" i="7"/>
  <c r="EO7" i="1"/>
  <c r="EN7" i="1"/>
  <c r="EM7" i="1"/>
  <c r="EL7" i="1"/>
  <c r="EK7" i="1"/>
  <c r="EJ7" i="1"/>
  <c r="EI7" i="1"/>
  <c r="B17" i="7"/>
  <c r="EO6" i="1"/>
  <c r="EN6" i="1"/>
  <c r="EM6" i="1"/>
  <c r="B16" i="7"/>
  <c r="EO5" i="1"/>
  <c r="EN5" i="1"/>
  <c r="EM5" i="1"/>
  <c r="EL5" i="1"/>
  <c r="EK5" i="1"/>
  <c r="EJ5" i="1"/>
  <c r="EI5" i="1"/>
  <c r="B15" i="7"/>
  <c r="EO4" i="1"/>
  <c r="EN4" i="1"/>
  <c r="EM4" i="1"/>
  <c r="B14" i="7"/>
  <c r="N63" i="1"/>
  <c r="O63" i="1"/>
  <c r="P63" i="1"/>
  <c r="Q63" i="1"/>
  <c r="O77" i="1"/>
  <c r="O79" i="1"/>
  <c r="O81" i="1"/>
  <c r="O82" i="1"/>
  <c r="O83" i="1"/>
  <c r="O84" i="1"/>
  <c r="O85" i="1"/>
  <c r="O89" i="1"/>
  <c r="O91" i="1"/>
  <c r="O92" i="1"/>
  <c r="O93" i="1"/>
  <c r="O98" i="1"/>
  <c r="O99" i="1"/>
  <c r="O101" i="1"/>
  <c r="O105" i="1"/>
  <c r="O106" i="1"/>
  <c r="O109" i="1"/>
  <c r="O113" i="1"/>
  <c r="O115" i="1"/>
  <c r="O117" i="1"/>
  <c r="O121" i="1"/>
  <c r="O123" i="1"/>
  <c r="O125" i="1"/>
  <c r="O129" i="1"/>
  <c r="O130" i="1"/>
  <c r="O133" i="1"/>
  <c r="E63" i="1"/>
  <c r="G63" i="1"/>
  <c r="H63" i="1"/>
  <c r="X77" i="1"/>
  <c r="X79" i="1"/>
  <c r="X80" i="1"/>
  <c r="X81" i="1"/>
  <c r="X83" i="1"/>
  <c r="X86" i="1"/>
  <c r="X87" i="1"/>
  <c r="X88" i="1"/>
  <c r="X89" i="1"/>
  <c r="X90" i="1"/>
  <c r="X91" i="1"/>
  <c r="X95" i="1"/>
  <c r="X96" i="1"/>
  <c r="X97" i="1"/>
  <c r="X99" i="1"/>
  <c r="X100" i="1"/>
  <c r="X103" i="1"/>
  <c r="X104" i="1"/>
  <c r="X105" i="1"/>
  <c r="X106" i="1"/>
  <c r="X107" i="1"/>
  <c r="X111" i="1"/>
  <c r="X112" i="1"/>
  <c r="X113" i="1"/>
  <c r="X115" i="1"/>
  <c r="X116" i="1"/>
  <c r="X118" i="1"/>
  <c r="X119" i="1"/>
  <c r="X120" i="1"/>
  <c r="X121" i="1"/>
  <c r="X123" i="1"/>
  <c r="X127" i="1"/>
  <c r="X128" i="1"/>
  <c r="X129" i="1"/>
  <c r="X131" i="1"/>
  <c r="X132" i="1"/>
  <c r="W63" i="1"/>
  <c r="X63" i="1"/>
  <c r="Y63" i="1"/>
  <c r="Z63" i="1"/>
  <c r="AG77" i="1"/>
  <c r="AG79" i="1"/>
  <c r="AG80" i="1"/>
  <c r="AG81" i="1"/>
  <c r="AG83" i="1"/>
  <c r="AG84" i="1"/>
  <c r="AG88" i="1"/>
  <c r="AG89" i="1"/>
  <c r="AG91" i="1"/>
  <c r="AG92" i="1"/>
  <c r="AG95" i="1"/>
  <c r="AG96" i="1"/>
  <c r="AG97" i="1"/>
  <c r="AG99" i="1"/>
  <c r="AG103" i="1"/>
  <c r="AG104" i="1"/>
  <c r="AG105" i="1"/>
  <c r="AG107" i="1"/>
  <c r="AG111" i="1"/>
  <c r="AG112" i="1"/>
  <c r="AG113" i="1"/>
  <c r="AG115" i="1"/>
  <c r="AG116" i="1"/>
  <c r="AG120" i="1"/>
  <c r="AG121" i="1"/>
  <c r="AG122" i="1"/>
  <c r="AG123" i="1"/>
  <c r="AG127" i="1"/>
  <c r="AG128" i="1"/>
  <c r="AG129" i="1"/>
  <c r="AG131" i="1"/>
  <c r="AG132" i="1"/>
  <c r="AG134" i="1"/>
  <c r="AF63" i="1"/>
  <c r="AG63" i="1"/>
  <c r="AH63" i="1"/>
  <c r="AI63" i="1"/>
  <c r="AP76" i="1"/>
  <c r="AP80" i="1"/>
  <c r="AP81" i="1"/>
  <c r="AP83" i="1"/>
  <c r="AP85" i="1"/>
  <c r="AP86" i="1"/>
  <c r="AP89" i="1"/>
  <c r="AP91" i="1"/>
  <c r="AP92" i="1"/>
  <c r="AP93" i="1"/>
  <c r="AP97" i="1"/>
  <c r="AP98" i="1"/>
  <c r="AP99" i="1"/>
  <c r="AP100" i="1"/>
  <c r="AP101" i="1"/>
  <c r="AP102" i="1"/>
  <c r="AP104" i="1"/>
  <c r="AP105" i="1"/>
  <c r="AP107" i="1"/>
  <c r="AP108" i="1"/>
  <c r="AP113" i="1"/>
  <c r="AP115" i="1"/>
  <c r="AP116" i="1"/>
  <c r="AP117" i="1"/>
  <c r="AP120" i="1"/>
  <c r="AP121" i="1"/>
  <c r="AP123" i="1"/>
  <c r="AP124" i="1"/>
  <c r="AP125" i="1"/>
  <c r="AP129" i="1"/>
  <c r="AP131" i="1"/>
  <c r="AP132" i="1"/>
  <c r="AP133" i="1"/>
  <c r="AO63" i="1"/>
  <c r="AP63" i="1"/>
  <c r="AQ63" i="1"/>
  <c r="AR63" i="1"/>
  <c r="AY76" i="1"/>
  <c r="AY77" i="1"/>
  <c r="AY78" i="1"/>
  <c r="AY81" i="1"/>
  <c r="AY83" i="1"/>
  <c r="AY85" i="1"/>
  <c r="AY88" i="1"/>
  <c r="AY89" i="1"/>
  <c r="AY93" i="1"/>
  <c r="AY96" i="1"/>
  <c r="AY100" i="1"/>
  <c r="AY101" i="1"/>
  <c r="AY103" i="1"/>
  <c r="AY104" i="1"/>
  <c r="AY107" i="1"/>
  <c r="AY108" i="1"/>
  <c r="AY109" i="1"/>
  <c r="AY111" i="1"/>
  <c r="AY115" i="1"/>
  <c r="AY116" i="1"/>
  <c r="AY117" i="1"/>
  <c r="AY120" i="1"/>
  <c r="AY123" i="1"/>
  <c r="AY124" i="1"/>
  <c r="AY125" i="1"/>
  <c r="AY126" i="1"/>
  <c r="AY127" i="1"/>
  <c r="AY131" i="1"/>
  <c r="AY132" i="1"/>
  <c r="AY133" i="1"/>
  <c r="AX63" i="1"/>
  <c r="AY63" i="1"/>
  <c r="AZ63" i="1"/>
  <c r="BA63" i="1"/>
  <c r="BH79" i="1"/>
  <c r="BH80" i="1"/>
  <c r="BH81" i="1"/>
  <c r="BH83" i="1"/>
  <c r="BH84" i="1"/>
  <c r="BH87" i="1"/>
  <c r="BH88" i="1"/>
  <c r="BH89" i="1"/>
  <c r="BH91" i="1"/>
  <c r="BH93" i="1"/>
  <c r="BH94" i="1"/>
  <c r="BH96" i="1"/>
  <c r="BH97" i="1"/>
  <c r="BH98" i="1"/>
  <c r="BH99" i="1"/>
  <c r="BH101" i="1"/>
  <c r="BH105" i="1"/>
  <c r="BH106" i="1"/>
  <c r="BH107" i="1"/>
  <c r="BH109" i="1"/>
  <c r="BH110" i="1"/>
  <c r="BH113" i="1"/>
  <c r="BH114" i="1"/>
  <c r="BH115" i="1"/>
  <c r="BH117" i="1"/>
  <c r="BH118" i="1"/>
  <c r="BH121" i="1"/>
  <c r="BH122" i="1"/>
  <c r="BH123" i="1"/>
  <c r="BH125" i="1"/>
  <c r="BH126" i="1"/>
  <c r="BH129" i="1"/>
  <c r="BH130" i="1"/>
  <c r="BH131" i="1"/>
  <c r="BH133" i="1"/>
  <c r="BH134" i="1"/>
  <c r="BG63" i="1"/>
  <c r="BH63" i="1"/>
  <c r="BI63" i="1"/>
  <c r="BJ63" i="1"/>
  <c r="BQ77" i="1"/>
  <c r="BQ78" i="1"/>
  <c r="BQ79" i="1"/>
  <c r="BQ82" i="1"/>
  <c r="BQ83" i="1"/>
  <c r="BQ85" i="1"/>
  <c r="BQ86" i="1"/>
  <c r="BQ87" i="1"/>
  <c r="BQ90" i="1"/>
  <c r="BQ91" i="1"/>
  <c r="BQ93" i="1"/>
  <c r="BQ94" i="1"/>
  <c r="BQ95" i="1"/>
  <c r="BQ98" i="1"/>
  <c r="BQ99" i="1"/>
  <c r="BQ101" i="1"/>
  <c r="BQ102" i="1"/>
  <c r="BQ103" i="1"/>
  <c r="BQ106" i="1"/>
  <c r="BQ107" i="1"/>
  <c r="BQ109" i="1"/>
  <c r="BQ110" i="1"/>
  <c r="BQ111" i="1"/>
  <c r="BQ114" i="1"/>
  <c r="BQ115" i="1"/>
  <c r="BQ117" i="1"/>
  <c r="BQ118" i="1"/>
  <c r="BQ119" i="1"/>
  <c r="BQ122" i="1"/>
  <c r="BQ123" i="1"/>
  <c r="BQ125" i="1"/>
  <c r="BQ126" i="1"/>
  <c r="BQ127" i="1"/>
  <c r="BQ130" i="1"/>
  <c r="BQ131" i="1"/>
  <c r="BQ133" i="1"/>
  <c r="BQ134" i="1"/>
  <c r="BP63" i="1"/>
  <c r="BQ63" i="1"/>
  <c r="BR63" i="1"/>
  <c r="BS63" i="1"/>
  <c r="BZ76" i="1"/>
  <c r="BZ77" i="1"/>
  <c r="BZ79" i="1"/>
  <c r="BZ80" i="1"/>
  <c r="BZ81" i="1"/>
  <c r="BZ84" i="1"/>
  <c r="BZ85" i="1"/>
  <c r="BZ87" i="1"/>
  <c r="BZ88" i="1"/>
  <c r="BZ89" i="1"/>
  <c r="BZ92" i="1"/>
  <c r="BZ93" i="1"/>
  <c r="BZ95" i="1"/>
  <c r="BZ96" i="1"/>
  <c r="BZ97" i="1"/>
  <c r="BZ100" i="1"/>
  <c r="BZ101" i="1"/>
  <c r="BZ103" i="1"/>
  <c r="BZ104" i="1"/>
  <c r="BZ105" i="1"/>
  <c r="BZ108" i="1"/>
  <c r="BZ109" i="1"/>
  <c r="BZ111" i="1"/>
  <c r="BZ112" i="1"/>
  <c r="BZ113" i="1"/>
  <c r="BZ116" i="1"/>
  <c r="BZ117" i="1"/>
  <c r="BZ119" i="1"/>
  <c r="BZ120" i="1"/>
  <c r="BZ121" i="1"/>
  <c r="BZ124" i="1"/>
  <c r="BZ125" i="1"/>
  <c r="BZ127" i="1"/>
  <c r="BZ128" i="1"/>
  <c r="BZ129" i="1"/>
  <c r="BZ132" i="1"/>
  <c r="BZ133" i="1"/>
  <c r="BY63" i="1"/>
  <c r="BZ63" i="1"/>
  <c r="CA63" i="1"/>
  <c r="CB63" i="1"/>
  <c r="CI76" i="1"/>
  <c r="CI78" i="1"/>
  <c r="CI81" i="1"/>
  <c r="CI82" i="1"/>
  <c r="CI83" i="1"/>
  <c r="CI86" i="1"/>
  <c r="CI87" i="1"/>
  <c r="CI89" i="1"/>
  <c r="CI90" i="1"/>
  <c r="CI94" i="1"/>
  <c r="CI95" i="1"/>
  <c r="CI97" i="1"/>
  <c r="CI98" i="1"/>
  <c r="CI99" i="1"/>
  <c r="CI100" i="1"/>
  <c r="CI102" i="1"/>
  <c r="CI105" i="1"/>
  <c r="CI106" i="1"/>
  <c r="CI107" i="1"/>
  <c r="CI110" i="1"/>
  <c r="CI111" i="1"/>
  <c r="CI112" i="1"/>
  <c r="CI113" i="1"/>
  <c r="CI114" i="1"/>
  <c r="CI115" i="1"/>
  <c r="CI116" i="1"/>
  <c r="CI118" i="1"/>
  <c r="CI119" i="1"/>
  <c r="CI121" i="1"/>
  <c r="CI122" i="1"/>
  <c r="CI123" i="1"/>
  <c r="CI126" i="1"/>
  <c r="CI127" i="1"/>
  <c r="CI129" i="1"/>
  <c r="CI130" i="1"/>
  <c r="CI131" i="1"/>
  <c r="CI132" i="1"/>
  <c r="CI134" i="1"/>
  <c r="CH63" i="1"/>
  <c r="CI63" i="1"/>
  <c r="CJ63" i="1"/>
  <c r="CK63" i="1"/>
  <c r="CR76" i="1"/>
  <c r="CR77" i="1"/>
  <c r="CR78" i="1"/>
  <c r="CR80" i="1"/>
  <c r="CR81" i="1"/>
  <c r="CR83" i="1"/>
  <c r="CR84" i="1"/>
  <c r="CR85" i="1"/>
  <c r="CR88" i="1"/>
  <c r="CR89" i="1"/>
  <c r="CR91" i="1"/>
  <c r="CR92" i="1"/>
  <c r="CR93" i="1"/>
  <c r="CR94" i="1"/>
  <c r="CR96" i="1"/>
  <c r="CR97" i="1"/>
  <c r="CR99" i="1"/>
  <c r="CR100" i="1"/>
  <c r="CR101" i="1"/>
  <c r="CR104" i="1"/>
  <c r="CR105" i="1"/>
  <c r="CR107" i="1"/>
  <c r="CR108" i="1"/>
  <c r="CR109" i="1"/>
  <c r="CR110" i="1"/>
  <c r="CR112" i="1"/>
  <c r="CR113" i="1"/>
  <c r="CR115" i="1"/>
  <c r="CR116" i="1"/>
  <c r="CR117" i="1"/>
  <c r="CR120" i="1"/>
  <c r="CR121" i="1"/>
  <c r="CR123" i="1"/>
  <c r="CR124" i="1"/>
  <c r="CR125" i="1"/>
  <c r="CR126" i="1"/>
  <c r="CR128" i="1"/>
  <c r="CR129" i="1"/>
  <c r="CR131" i="1"/>
  <c r="CR132" i="1"/>
  <c r="CR133" i="1"/>
  <c r="CQ63" i="1"/>
  <c r="CR63" i="1"/>
  <c r="CS63" i="1"/>
  <c r="CT63" i="1"/>
  <c r="DA77" i="1"/>
  <c r="DA78" i="1"/>
  <c r="DA79" i="1"/>
  <c r="DA82" i="1"/>
  <c r="DA83" i="1"/>
  <c r="DA85" i="1"/>
  <c r="DA86" i="1"/>
  <c r="DA87" i="1"/>
  <c r="DA88" i="1"/>
  <c r="DA90" i="1"/>
  <c r="DA91" i="1"/>
  <c r="DA93" i="1"/>
  <c r="DA94" i="1"/>
  <c r="DA95" i="1"/>
  <c r="DA98" i="1"/>
  <c r="DA99" i="1"/>
  <c r="DA101" i="1"/>
  <c r="DA102" i="1"/>
  <c r="DA103" i="1"/>
  <c r="DA104" i="1"/>
  <c r="DA106" i="1"/>
  <c r="DA107" i="1"/>
  <c r="DA109" i="1"/>
  <c r="DA110" i="1"/>
  <c r="DA111" i="1"/>
  <c r="DA114" i="1"/>
  <c r="DA115" i="1"/>
  <c r="DA117" i="1"/>
  <c r="DA118" i="1"/>
  <c r="DA119" i="1"/>
  <c r="DA120" i="1"/>
  <c r="DA122" i="1"/>
  <c r="DA123" i="1"/>
  <c r="DA125" i="1"/>
  <c r="DA126" i="1"/>
  <c r="DA127" i="1"/>
  <c r="DA130" i="1"/>
  <c r="DA131" i="1"/>
  <c r="DA132" i="1"/>
  <c r="DA133" i="1"/>
  <c r="DA134" i="1"/>
  <c r="CZ63" i="1"/>
  <c r="DA63" i="1"/>
  <c r="DB63" i="1"/>
  <c r="DC63" i="1"/>
  <c r="DJ76" i="1"/>
  <c r="DJ77" i="1"/>
  <c r="DJ80" i="1"/>
  <c r="DJ81" i="1"/>
  <c r="DJ82" i="1"/>
  <c r="DJ83" i="1"/>
  <c r="DJ84" i="1"/>
  <c r="DJ85" i="1"/>
  <c r="DJ88" i="1"/>
  <c r="DJ89" i="1"/>
  <c r="DJ91" i="1"/>
  <c r="DJ92" i="1"/>
  <c r="DJ93" i="1"/>
  <c r="DJ96" i="1"/>
  <c r="DJ97" i="1"/>
  <c r="DJ99" i="1"/>
  <c r="DJ100" i="1"/>
  <c r="DJ101" i="1"/>
  <c r="DJ104" i="1"/>
  <c r="DJ105" i="1"/>
  <c r="DJ107" i="1"/>
  <c r="DJ108" i="1"/>
  <c r="DJ109" i="1"/>
  <c r="DJ112" i="1"/>
  <c r="DJ113" i="1"/>
  <c r="DJ115" i="1"/>
  <c r="DJ116" i="1"/>
  <c r="DJ117" i="1"/>
  <c r="DJ120" i="1"/>
  <c r="DJ121" i="1"/>
  <c r="DJ123" i="1"/>
  <c r="DJ124" i="1"/>
  <c r="DJ125" i="1"/>
  <c r="DJ128" i="1"/>
  <c r="DJ129" i="1"/>
  <c r="DJ131" i="1"/>
  <c r="DJ132" i="1"/>
  <c r="DJ133" i="1"/>
  <c r="DI63" i="1"/>
  <c r="DJ63" i="1"/>
  <c r="DK63" i="1"/>
  <c r="DL63" i="1"/>
  <c r="DS77" i="1"/>
  <c r="DS78" i="1"/>
  <c r="DS79" i="1"/>
  <c r="DS81" i="1"/>
  <c r="DS82" i="1"/>
  <c r="DS85" i="1"/>
  <c r="DS86" i="1"/>
  <c r="DS87" i="1"/>
  <c r="DS88" i="1"/>
  <c r="DS89" i="1"/>
  <c r="DS91" i="1"/>
  <c r="DS92" i="1"/>
  <c r="DS93" i="1"/>
  <c r="DS95" i="1"/>
  <c r="DS96" i="1"/>
  <c r="DS97" i="1"/>
  <c r="DS100" i="1"/>
  <c r="DS101" i="1"/>
  <c r="DS103" i="1"/>
  <c r="DS104" i="1"/>
  <c r="DS105" i="1"/>
  <c r="DS108" i="1"/>
  <c r="DS109" i="1"/>
  <c r="DS111" i="1"/>
  <c r="DS112" i="1"/>
  <c r="DS113" i="1"/>
  <c r="DS116" i="1"/>
  <c r="DS117" i="1"/>
  <c r="DS119" i="1"/>
  <c r="DS120" i="1"/>
  <c r="DS121" i="1"/>
  <c r="DS123" i="1"/>
  <c r="DS124" i="1"/>
  <c r="DS125" i="1"/>
  <c r="DS127" i="1"/>
  <c r="DS128" i="1"/>
  <c r="DS129" i="1"/>
  <c r="DS132" i="1"/>
  <c r="DS133" i="1"/>
  <c r="DR63" i="1"/>
  <c r="DS63" i="1"/>
  <c r="DT63" i="1"/>
  <c r="DU63" i="1"/>
  <c r="EB77" i="1"/>
  <c r="EB78" i="1"/>
  <c r="EB81" i="1"/>
  <c r="EB82" i="1"/>
  <c r="EB83" i="1"/>
  <c r="EB85" i="1"/>
  <c r="EB86" i="1"/>
  <c r="EB88" i="1"/>
  <c r="EB89" i="1"/>
  <c r="EB91" i="1"/>
  <c r="EB92" i="1"/>
  <c r="EB93" i="1"/>
  <c r="EB96" i="1"/>
  <c r="EB97" i="1"/>
  <c r="EB99" i="1"/>
  <c r="EB100" i="1"/>
  <c r="EB101" i="1"/>
  <c r="EB102" i="1"/>
  <c r="EB104" i="1"/>
  <c r="EB105" i="1"/>
  <c r="EB107" i="1"/>
  <c r="EB108" i="1"/>
  <c r="EB109" i="1"/>
  <c r="EB112" i="1"/>
  <c r="EB113" i="1"/>
  <c r="EB115" i="1"/>
  <c r="EB116" i="1"/>
  <c r="EB117" i="1"/>
  <c r="EB118" i="1"/>
  <c r="EB120" i="1"/>
  <c r="EB121" i="1"/>
  <c r="EB123" i="1"/>
  <c r="EB124" i="1"/>
  <c r="EB125" i="1"/>
  <c r="EB128" i="1"/>
  <c r="EB129" i="1"/>
  <c r="EB131" i="1"/>
  <c r="EB132" i="1"/>
  <c r="EB133" i="1"/>
  <c r="EB134" i="1"/>
  <c r="EA63" i="1"/>
  <c r="EB63" i="1"/>
  <c r="EC63" i="1"/>
  <c r="ED63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B63" i="1"/>
  <c r="N12" i="6"/>
  <c r="R12" i="6"/>
  <c r="EH33" i="1"/>
  <c r="J172" i="1"/>
  <c r="J43" i="6"/>
  <c r="O12" i="6"/>
  <c r="F130" i="1"/>
  <c r="F114" i="1"/>
  <c r="F98" i="1"/>
  <c r="F82" i="1"/>
  <c r="A6" i="8"/>
  <c r="AY91" i="1"/>
  <c r="AP109" i="1"/>
  <c r="AP77" i="1"/>
  <c r="AG76" i="1"/>
  <c r="BZ106" i="1"/>
  <c r="BQ80" i="1"/>
  <c r="AP134" i="1"/>
  <c r="AP118" i="1"/>
  <c r="AP78" i="1"/>
  <c r="AG114" i="1"/>
  <c r="AG90" i="1"/>
  <c r="X130" i="1"/>
  <c r="X124" i="1"/>
  <c r="X84" i="1"/>
  <c r="F118" i="1"/>
  <c r="F108" i="1"/>
  <c r="F100" i="1"/>
  <c r="F86" i="1"/>
  <c r="I89" i="1"/>
  <c r="CR86" i="1"/>
  <c r="AY134" i="1"/>
  <c r="AG130" i="1"/>
  <c r="AG82" i="1"/>
  <c r="X114" i="1"/>
  <c r="X108" i="1"/>
  <c r="X98" i="1"/>
  <c r="X92" i="1"/>
  <c r="O116" i="1"/>
  <c r="F126" i="1"/>
  <c r="F116" i="1"/>
  <c r="F94" i="1"/>
  <c r="F84" i="1"/>
  <c r="AP126" i="1"/>
  <c r="AP110" i="1"/>
  <c r="AP94" i="1"/>
  <c r="X122" i="1"/>
  <c r="X82" i="1"/>
  <c r="F124" i="1"/>
  <c r="F92" i="1"/>
  <c r="F76" i="1"/>
  <c r="A4" i="8"/>
  <c r="A11" i="8"/>
  <c r="EH35" i="1"/>
  <c r="EV35" i="1"/>
  <c r="T174" i="1"/>
  <c r="T45" i="7"/>
  <c r="A43" i="8"/>
  <c r="R78" i="1"/>
  <c r="S84" i="1"/>
  <c r="T92" i="1"/>
  <c r="T100" i="1"/>
  <c r="R114" i="1"/>
  <c r="T116" i="1"/>
  <c r="AA80" i="1"/>
  <c r="AB104" i="1"/>
  <c r="AJ76" i="1"/>
  <c r="AJ104" i="1"/>
  <c r="AJ120" i="1"/>
  <c r="R76" i="1"/>
  <c r="R80" i="1"/>
  <c r="T84" i="1"/>
  <c r="T94" i="1"/>
  <c r="T108" i="1"/>
  <c r="T114" i="1"/>
  <c r="AB80" i="1"/>
  <c r="AB112" i="1"/>
  <c r="AL76" i="1"/>
  <c r="AJ88" i="1"/>
  <c r="AL112" i="1"/>
  <c r="AL128" i="1"/>
  <c r="S76" i="1"/>
  <c r="T80" i="1"/>
  <c r="T86" i="1"/>
  <c r="R100" i="1"/>
  <c r="R110" i="1"/>
  <c r="R116" i="1"/>
  <c r="AB88" i="1"/>
  <c r="AB120" i="1"/>
  <c r="R90" i="1"/>
  <c r="T110" i="1"/>
  <c r="AB96" i="1"/>
  <c r="AB128" i="1"/>
  <c r="AJ80" i="1"/>
  <c r="AJ96" i="1"/>
  <c r="AT82" i="1"/>
  <c r="S95" i="1"/>
  <c r="O96" i="1"/>
  <c r="T75" i="1"/>
  <c r="A3" i="8"/>
  <c r="O76" i="1"/>
  <c r="L14" i="1"/>
  <c r="A13" i="8"/>
  <c r="L18" i="1"/>
  <c r="L32" i="1"/>
  <c r="L36" i="1"/>
  <c r="A35" i="8"/>
  <c r="L46" i="1"/>
  <c r="EH46" i="1"/>
  <c r="L50" i="1"/>
  <c r="O122" i="1"/>
  <c r="I75" i="1"/>
  <c r="K77" i="1"/>
  <c r="I79" i="1"/>
  <c r="K81" i="1"/>
  <c r="I83" i="1"/>
  <c r="K85" i="1"/>
  <c r="I87" i="1"/>
  <c r="K89" i="1"/>
  <c r="I91" i="1"/>
  <c r="K93" i="1"/>
  <c r="I95" i="1"/>
  <c r="K97" i="1"/>
  <c r="I99" i="1"/>
  <c r="K101" i="1"/>
  <c r="I103" i="1"/>
  <c r="K105" i="1"/>
  <c r="I107" i="1"/>
  <c r="K109" i="1"/>
  <c r="J113" i="1"/>
  <c r="J117" i="1"/>
  <c r="J121" i="1"/>
  <c r="J125" i="1"/>
  <c r="J129" i="1"/>
  <c r="K133" i="1"/>
  <c r="R83" i="1"/>
  <c r="AC89" i="1"/>
  <c r="AC97" i="1"/>
  <c r="AC105" i="1"/>
  <c r="AC113" i="1"/>
  <c r="AC121" i="1"/>
  <c r="AK89" i="1"/>
  <c r="AU101" i="1"/>
  <c r="AU133" i="1"/>
  <c r="L8" i="1"/>
  <c r="A7" i="8"/>
  <c r="L22" i="1"/>
  <c r="EH22" i="1"/>
  <c r="L40" i="1"/>
  <c r="L54" i="1"/>
  <c r="I111" i="1"/>
  <c r="J75" i="1"/>
  <c r="J79" i="1"/>
  <c r="J83" i="1"/>
  <c r="J87" i="1"/>
  <c r="J91" i="1"/>
  <c r="J95" i="1"/>
  <c r="J99" i="1"/>
  <c r="J103" i="1"/>
  <c r="J107" i="1"/>
  <c r="K113" i="1"/>
  <c r="I115" i="1"/>
  <c r="K117" i="1"/>
  <c r="I119" i="1"/>
  <c r="K121" i="1"/>
  <c r="I123" i="1"/>
  <c r="K125" i="1"/>
  <c r="I127" i="1"/>
  <c r="K129" i="1"/>
  <c r="I131" i="1"/>
  <c r="I133" i="1"/>
  <c r="S83" i="1"/>
  <c r="S129" i="1"/>
  <c r="AA81" i="1"/>
  <c r="AK81" i="1"/>
  <c r="AK105" i="1"/>
  <c r="AS77" i="1"/>
  <c r="AU85" i="1"/>
  <c r="AS109" i="1"/>
  <c r="L16" i="1"/>
  <c r="EH16" i="1"/>
  <c r="A155" i="1"/>
  <c r="L30" i="1"/>
  <c r="L48" i="1"/>
  <c r="L62" i="1"/>
  <c r="R133" i="1"/>
  <c r="L6" i="1"/>
  <c r="EH6" i="1"/>
  <c r="L145" i="1"/>
  <c r="J111" i="1"/>
  <c r="K75" i="1"/>
  <c r="I77" i="1"/>
  <c r="I85" i="1"/>
  <c r="I93" i="1"/>
  <c r="K95" i="1"/>
  <c r="I97" i="1"/>
  <c r="K99" i="1"/>
  <c r="I101" i="1"/>
  <c r="I105" i="1"/>
  <c r="I109" i="1"/>
  <c r="J115" i="1"/>
  <c r="J119" i="1"/>
  <c r="J123" i="1"/>
  <c r="J127" i="1"/>
  <c r="J131" i="1"/>
  <c r="S81" i="1"/>
  <c r="S97" i="1"/>
  <c r="T129" i="1"/>
  <c r="AB81" i="1"/>
  <c r="AA89" i="1"/>
  <c r="AS125" i="1"/>
  <c r="L38" i="1"/>
  <c r="EH38" i="1"/>
  <c r="L42" i="1"/>
  <c r="EH42" i="1"/>
  <c r="ET42" i="1"/>
  <c r="L56" i="1"/>
  <c r="L60" i="1"/>
  <c r="J89" i="1"/>
  <c r="T81" i="1"/>
  <c r="T97" i="1"/>
  <c r="AA97" i="1"/>
  <c r="AA105" i="1"/>
  <c r="AA113" i="1"/>
  <c r="AA121" i="1"/>
  <c r="AC129" i="1"/>
  <c r="AK97" i="1"/>
  <c r="AL121" i="1"/>
  <c r="AS93" i="1"/>
  <c r="AU117" i="1"/>
  <c r="H44" i="7"/>
  <c r="H44" i="6"/>
  <c r="ES33" i="1"/>
  <c r="Q172" i="1"/>
  <c r="F172" i="1"/>
  <c r="EP33" i="1"/>
  <c r="N172" i="1"/>
  <c r="N43" i="6"/>
  <c r="EQ33" i="1"/>
  <c r="O172" i="1"/>
  <c r="O43" i="7"/>
  <c r="ER33" i="1"/>
  <c r="P172" i="1"/>
  <c r="EV33" i="1"/>
  <c r="T172" i="1"/>
  <c r="T43" i="7"/>
  <c r="A174" i="1"/>
  <c r="EU35" i="1"/>
  <c r="S174" i="1"/>
  <c r="S45" i="7"/>
  <c r="G174" i="1"/>
  <c r="ET35" i="1"/>
  <c r="R174" i="1"/>
  <c r="R45" i="7"/>
  <c r="EQ35" i="1"/>
  <c r="O174" i="1"/>
  <c r="ES35" i="1"/>
  <c r="H174" i="1"/>
  <c r="EE118" i="1"/>
  <c r="EG118" i="1"/>
  <c r="EF118" i="1"/>
  <c r="EB119" i="1"/>
  <c r="EE94" i="1"/>
  <c r="EG94" i="1"/>
  <c r="EF94" i="1"/>
  <c r="EB95" i="1"/>
  <c r="EF129" i="1"/>
  <c r="EG129" i="1"/>
  <c r="EE129" i="1"/>
  <c r="EB130" i="1"/>
  <c r="EF105" i="1"/>
  <c r="EG105" i="1"/>
  <c r="EE105" i="1"/>
  <c r="EB106" i="1"/>
  <c r="EG79" i="1"/>
  <c r="EF79" i="1"/>
  <c r="EE79" i="1"/>
  <c r="DX114" i="1"/>
  <c r="DW114" i="1"/>
  <c r="DV114" i="1"/>
  <c r="DX98" i="1"/>
  <c r="DW98" i="1"/>
  <c r="DV98" i="1"/>
  <c r="DW133" i="1"/>
  <c r="DV133" i="1"/>
  <c r="DX133" i="1"/>
  <c r="DS134" i="1"/>
  <c r="DW109" i="1"/>
  <c r="DV109" i="1"/>
  <c r="DX109" i="1"/>
  <c r="DS110" i="1"/>
  <c r="DW83" i="1"/>
  <c r="DX83" i="1"/>
  <c r="DV83" i="1"/>
  <c r="DS84" i="1"/>
  <c r="DO118" i="1"/>
  <c r="DM118" i="1"/>
  <c r="DN118" i="1"/>
  <c r="DJ119" i="1"/>
  <c r="DM94" i="1"/>
  <c r="DO94" i="1"/>
  <c r="DN94" i="1"/>
  <c r="DJ95" i="1"/>
  <c r="DN129" i="1"/>
  <c r="DO129" i="1"/>
  <c r="DM129" i="1"/>
  <c r="DN105" i="1"/>
  <c r="DO105" i="1"/>
  <c r="DM105" i="1"/>
  <c r="DJ106" i="1"/>
  <c r="DM85" i="1"/>
  <c r="DO85" i="1"/>
  <c r="DN85" i="1"/>
  <c r="DJ86" i="1"/>
  <c r="DF120" i="1"/>
  <c r="DE120" i="1"/>
  <c r="DD120" i="1"/>
  <c r="DD96" i="1"/>
  <c r="DF96" i="1"/>
  <c r="DE96" i="1"/>
  <c r="DA97" i="1"/>
  <c r="DF131" i="1"/>
  <c r="DE131" i="1"/>
  <c r="DD131" i="1"/>
  <c r="DF107" i="1"/>
  <c r="DE107" i="1"/>
  <c r="DD107" i="1"/>
  <c r="DA108" i="1"/>
  <c r="DF83" i="1"/>
  <c r="DE83" i="1"/>
  <c r="DD83" i="1"/>
  <c r="DA84" i="1"/>
  <c r="CV118" i="1"/>
  <c r="CW118" i="1"/>
  <c r="CU118" i="1"/>
  <c r="CR119" i="1"/>
  <c r="CV94" i="1"/>
  <c r="CW94" i="1"/>
  <c r="CU94" i="1"/>
  <c r="CR95" i="1"/>
  <c r="CV129" i="1"/>
  <c r="CU129" i="1"/>
  <c r="CW129" i="1"/>
  <c r="CR130" i="1"/>
  <c r="CW113" i="1"/>
  <c r="CU113" i="1"/>
  <c r="CV113" i="1"/>
  <c r="CR114" i="1"/>
  <c r="CU89" i="1"/>
  <c r="CW89" i="1"/>
  <c r="CV89" i="1"/>
  <c r="CR90" i="1"/>
  <c r="CU81" i="1"/>
  <c r="CV81" i="1"/>
  <c r="CW81" i="1"/>
  <c r="CR82" i="1"/>
  <c r="CL132" i="1"/>
  <c r="CN132" i="1"/>
  <c r="CM132" i="1"/>
  <c r="CI133" i="1"/>
  <c r="CL124" i="1"/>
  <c r="CM124" i="1"/>
  <c r="CN124" i="1"/>
  <c r="CI125" i="1"/>
  <c r="CL116" i="1"/>
  <c r="CN116" i="1"/>
  <c r="CM116" i="1"/>
  <c r="CI117" i="1"/>
  <c r="CL100" i="1"/>
  <c r="CN100" i="1"/>
  <c r="CM100" i="1"/>
  <c r="CI101" i="1"/>
  <c r="EH29" i="1"/>
  <c r="CL84" i="1"/>
  <c r="CN84" i="1"/>
  <c r="CM84" i="1"/>
  <c r="CI85" i="1"/>
  <c r="CL76" i="1"/>
  <c r="CM76" i="1"/>
  <c r="CN76" i="1"/>
  <c r="EH5" i="1"/>
  <c r="CN127" i="1"/>
  <c r="CM127" i="1"/>
  <c r="CL127" i="1"/>
  <c r="EH56" i="1"/>
  <c r="CL119" i="1"/>
  <c r="CN119" i="1"/>
  <c r="CM119" i="1"/>
  <c r="CN111" i="1"/>
  <c r="CM111" i="1"/>
  <c r="CL111" i="1"/>
  <c r="CL103" i="1"/>
  <c r="CN103" i="1"/>
  <c r="CM103" i="1"/>
  <c r="EH32" i="1"/>
  <c r="CN95" i="1"/>
  <c r="CM95" i="1"/>
  <c r="CL95" i="1"/>
  <c r="CI96" i="1"/>
  <c r="EH24" i="1"/>
  <c r="CL87" i="1"/>
  <c r="CN87" i="1"/>
  <c r="CM87" i="1"/>
  <c r="CI88" i="1"/>
  <c r="CN79" i="1"/>
  <c r="CM79" i="1"/>
  <c r="CL79" i="1"/>
  <c r="CI80" i="1"/>
  <c r="CC130" i="1"/>
  <c r="CE130" i="1"/>
  <c r="CD130" i="1"/>
  <c r="BZ131" i="1"/>
  <c r="CC122" i="1"/>
  <c r="CE122" i="1"/>
  <c r="CD122" i="1"/>
  <c r="BZ123" i="1"/>
  <c r="CC114" i="1"/>
  <c r="CE114" i="1"/>
  <c r="CD114" i="1"/>
  <c r="EH43" i="1"/>
  <c r="L182" i="1"/>
  <c r="BZ115" i="1"/>
  <c r="CC106" i="1"/>
  <c r="CE106" i="1"/>
  <c r="CD106" i="1"/>
  <c r="BZ107" i="1"/>
  <c r="CE98" i="1"/>
  <c r="CD98" i="1"/>
  <c r="CC98" i="1"/>
  <c r="EH27" i="1"/>
  <c r="ET27" i="1"/>
  <c r="BZ99" i="1"/>
  <c r="CE90" i="1"/>
  <c r="CC90" i="1"/>
  <c r="EH19" i="1"/>
  <c r="CD90" i="1"/>
  <c r="BZ91" i="1"/>
  <c r="CE82" i="1"/>
  <c r="CD82" i="1"/>
  <c r="CC82" i="1"/>
  <c r="EH11" i="1"/>
  <c r="BZ83" i="1"/>
  <c r="CE133" i="1"/>
  <c r="CD133" i="1"/>
  <c r="CC133" i="1"/>
  <c r="EH62" i="1"/>
  <c r="F201" i="1"/>
  <c r="BZ134" i="1"/>
  <c r="CD125" i="1"/>
  <c r="CC125" i="1"/>
  <c r="CE125" i="1"/>
  <c r="BZ126" i="1"/>
  <c r="CD117" i="1"/>
  <c r="CC117" i="1"/>
  <c r="BZ118" i="1"/>
  <c r="CE117" i="1"/>
  <c r="CD109" i="1"/>
  <c r="CC109" i="1"/>
  <c r="CE109" i="1"/>
  <c r="BZ110" i="1"/>
  <c r="CD101" i="1"/>
  <c r="CC101" i="1"/>
  <c r="CE101" i="1"/>
  <c r="BZ102" i="1"/>
  <c r="CD93" i="1"/>
  <c r="CE93" i="1"/>
  <c r="CC93" i="1"/>
  <c r="BZ94" i="1"/>
  <c r="CD85" i="1"/>
  <c r="CE85" i="1"/>
  <c r="CC85" i="1"/>
  <c r="BZ86" i="1"/>
  <c r="CD77" i="1"/>
  <c r="CE77" i="1"/>
  <c r="CC77" i="1"/>
  <c r="BZ78" i="1"/>
  <c r="BU128" i="1"/>
  <c r="BV128" i="1"/>
  <c r="BT128" i="1"/>
  <c r="BQ129" i="1"/>
  <c r="BU120" i="1"/>
  <c r="BV120" i="1"/>
  <c r="BT120" i="1"/>
  <c r="EH49" i="1"/>
  <c r="BQ121" i="1"/>
  <c r="BU112" i="1"/>
  <c r="BV112" i="1"/>
  <c r="BT112" i="1"/>
  <c r="BQ113" i="1"/>
  <c r="BU104" i="1"/>
  <c r="BV104" i="1"/>
  <c r="BT104" i="1"/>
  <c r="BQ105" i="1"/>
  <c r="BU96" i="1"/>
  <c r="BV96" i="1"/>
  <c r="BT96" i="1"/>
  <c r="BQ97" i="1"/>
  <c r="BU88" i="1"/>
  <c r="BV88" i="1"/>
  <c r="BT88" i="1"/>
  <c r="BQ89" i="1"/>
  <c r="BU80" i="1"/>
  <c r="BT80" i="1"/>
  <c r="BV80" i="1"/>
  <c r="BQ81" i="1"/>
  <c r="BT131" i="1"/>
  <c r="BU131" i="1"/>
  <c r="BV131" i="1"/>
  <c r="BQ132" i="1"/>
  <c r="BT123" i="1"/>
  <c r="BV123" i="1"/>
  <c r="BU123" i="1"/>
  <c r="BQ124" i="1"/>
  <c r="EH52" i="1"/>
  <c r="BT115" i="1"/>
  <c r="BU115" i="1"/>
  <c r="BV115" i="1"/>
  <c r="BQ116" i="1"/>
  <c r="BT107" i="1"/>
  <c r="BV107" i="1"/>
  <c r="BU107" i="1"/>
  <c r="BQ108" i="1"/>
  <c r="BT99" i="1"/>
  <c r="BU99" i="1"/>
  <c r="BV99" i="1"/>
  <c r="BQ100" i="1"/>
  <c r="EH28" i="1"/>
  <c r="ES28" i="1"/>
  <c r="Q167" i="1"/>
  <c r="BT91" i="1"/>
  <c r="BV91" i="1"/>
  <c r="BU91" i="1"/>
  <c r="BQ92" i="1"/>
  <c r="BT83" i="1"/>
  <c r="BU83" i="1"/>
  <c r="BV83" i="1"/>
  <c r="BQ84" i="1"/>
  <c r="BT75" i="1"/>
  <c r="BV75" i="1"/>
  <c r="BU75" i="1"/>
  <c r="BQ76" i="1"/>
  <c r="BK126" i="1"/>
  <c r="BM126" i="1"/>
  <c r="BL126" i="1"/>
  <c r="BH127" i="1"/>
  <c r="BK118" i="1"/>
  <c r="BM118" i="1"/>
  <c r="BL118" i="1"/>
  <c r="EH47" i="1"/>
  <c r="EP47" i="1"/>
  <c r="BH119" i="1"/>
  <c r="BK110" i="1"/>
  <c r="BM110" i="1"/>
  <c r="BL110" i="1"/>
  <c r="BH111" i="1"/>
  <c r="BK102" i="1"/>
  <c r="BM102" i="1"/>
  <c r="BL102" i="1"/>
  <c r="BH103" i="1"/>
  <c r="BK94" i="1"/>
  <c r="BM94" i="1"/>
  <c r="BL94" i="1"/>
  <c r="BH95" i="1"/>
  <c r="BM84" i="1"/>
  <c r="BL84" i="1"/>
  <c r="BK84" i="1"/>
  <c r="BH85" i="1"/>
  <c r="BM76" i="1"/>
  <c r="BL76" i="1"/>
  <c r="BK76" i="1"/>
  <c r="BH77" i="1"/>
  <c r="BL127" i="1"/>
  <c r="BK127" i="1"/>
  <c r="BM127" i="1"/>
  <c r="BH128" i="1"/>
  <c r="BL119" i="1"/>
  <c r="BK119" i="1"/>
  <c r="BM119" i="1"/>
  <c r="BL111" i="1"/>
  <c r="BK111" i="1"/>
  <c r="BM111" i="1"/>
  <c r="BL103" i="1"/>
  <c r="BK103" i="1"/>
  <c r="BM103" i="1"/>
  <c r="BL95" i="1"/>
  <c r="BK95" i="1"/>
  <c r="BM85" i="1"/>
  <c r="BL85" i="1"/>
  <c r="BK85" i="1"/>
  <c r="BH86" i="1"/>
  <c r="BM77" i="1"/>
  <c r="BL77" i="1"/>
  <c r="BK77" i="1"/>
  <c r="BH78" i="1"/>
  <c r="BC128" i="1"/>
  <c r="BD128" i="1"/>
  <c r="BB128" i="1"/>
  <c r="AY129" i="1"/>
  <c r="BC120" i="1"/>
  <c r="BD120" i="1"/>
  <c r="BB120" i="1"/>
  <c r="AY121" i="1"/>
  <c r="BC112" i="1"/>
  <c r="BD112" i="1"/>
  <c r="BB112" i="1"/>
  <c r="AY113" i="1"/>
  <c r="BC104" i="1"/>
  <c r="BD104" i="1"/>
  <c r="BB104" i="1"/>
  <c r="AY105" i="1"/>
  <c r="BC96" i="1"/>
  <c r="BD96" i="1"/>
  <c r="BB96" i="1"/>
  <c r="BC86" i="1"/>
  <c r="BB86" i="1"/>
  <c r="BD86" i="1"/>
  <c r="AY87" i="1"/>
  <c r="BB129" i="1"/>
  <c r="BD129" i="1"/>
  <c r="BC129" i="1"/>
  <c r="EH58" i="1"/>
  <c r="AY130" i="1"/>
  <c r="BB113" i="1"/>
  <c r="BD113" i="1"/>
  <c r="BC113" i="1"/>
  <c r="BB105" i="1"/>
  <c r="BD105" i="1"/>
  <c r="BC105" i="1"/>
  <c r="BB97" i="1"/>
  <c r="BD97" i="1"/>
  <c r="BC97" i="1"/>
  <c r="AY98" i="1"/>
  <c r="EH26" i="1"/>
  <c r="BD83" i="1"/>
  <c r="BB83" i="1"/>
  <c r="BC83" i="1"/>
  <c r="AY84" i="1"/>
  <c r="BB75" i="1"/>
  <c r="BD75" i="1"/>
  <c r="BC75" i="1"/>
  <c r="AS126" i="1"/>
  <c r="AT126" i="1"/>
  <c r="AU126" i="1"/>
  <c r="AS118" i="1"/>
  <c r="AU118" i="1"/>
  <c r="AT118" i="1"/>
  <c r="AS110" i="1"/>
  <c r="AT110" i="1"/>
  <c r="AU110" i="1"/>
  <c r="AS102" i="1"/>
  <c r="AU102" i="1"/>
  <c r="AT102" i="1"/>
  <c r="AP103" i="1"/>
  <c r="AS94" i="1"/>
  <c r="AT94" i="1"/>
  <c r="AP95" i="1"/>
  <c r="AS86" i="1"/>
  <c r="AU86" i="1"/>
  <c r="AT86" i="1"/>
  <c r="AP87" i="1"/>
  <c r="AS78" i="1"/>
  <c r="AT78" i="1"/>
  <c r="AU78" i="1"/>
  <c r="AP79" i="1"/>
  <c r="AU129" i="1"/>
  <c r="AT129" i="1"/>
  <c r="AS129" i="1"/>
  <c r="AP130" i="1"/>
  <c r="AS121" i="1"/>
  <c r="AU121" i="1"/>
  <c r="AT121" i="1"/>
  <c r="AP122" i="1"/>
  <c r="AU113" i="1"/>
  <c r="AT113" i="1"/>
  <c r="AS113" i="1"/>
  <c r="AP114" i="1"/>
  <c r="AS105" i="1"/>
  <c r="AU105" i="1"/>
  <c r="AT105" i="1"/>
  <c r="AU97" i="1"/>
  <c r="AT97" i="1"/>
  <c r="AS97" i="1"/>
  <c r="AS89" i="1"/>
  <c r="AU89" i="1"/>
  <c r="AT89" i="1"/>
  <c r="AU81" i="1"/>
  <c r="AT81" i="1"/>
  <c r="AS81" i="1"/>
  <c r="AP82" i="1"/>
  <c r="EH10" i="1"/>
  <c r="AJ132" i="1"/>
  <c r="AL132" i="1"/>
  <c r="AG133" i="1"/>
  <c r="AL124" i="1"/>
  <c r="AK124" i="1"/>
  <c r="AJ124" i="1"/>
  <c r="AJ116" i="1"/>
  <c r="AL116" i="1"/>
  <c r="AK116" i="1"/>
  <c r="AG117" i="1"/>
  <c r="AL108" i="1"/>
  <c r="AK108" i="1"/>
  <c r="AG109" i="1"/>
  <c r="AJ108" i="1"/>
  <c r="AL100" i="1"/>
  <c r="AK100" i="1"/>
  <c r="AG101" i="1"/>
  <c r="AL92" i="1"/>
  <c r="AK92" i="1"/>
  <c r="AJ92" i="1"/>
  <c r="AG93" i="1"/>
  <c r="AL84" i="1"/>
  <c r="AK84" i="1"/>
  <c r="AG85" i="1"/>
  <c r="AJ133" i="1"/>
  <c r="AL133" i="1"/>
  <c r="AK133" i="1"/>
  <c r="AJ125" i="1"/>
  <c r="AL125" i="1"/>
  <c r="AJ117" i="1"/>
  <c r="AL117" i="1"/>
  <c r="AK117" i="1"/>
  <c r="AG118" i="1"/>
  <c r="AJ109" i="1"/>
  <c r="AL109" i="1"/>
  <c r="AK109" i="1"/>
  <c r="AG110" i="1"/>
  <c r="AJ101" i="1"/>
  <c r="AL101" i="1"/>
  <c r="AK101" i="1"/>
  <c r="AG102" i="1"/>
  <c r="AJ93" i="1"/>
  <c r="AL93" i="1"/>
  <c r="AK93" i="1"/>
  <c r="AG86" i="1"/>
  <c r="AJ85" i="1"/>
  <c r="AL85" i="1"/>
  <c r="AK85" i="1"/>
  <c r="AA132" i="1"/>
  <c r="AC132" i="1"/>
  <c r="AB132" i="1"/>
  <c r="X133" i="1"/>
  <c r="AA124" i="1"/>
  <c r="AC124" i="1"/>
  <c r="AB124" i="1"/>
  <c r="X125" i="1"/>
  <c r="AA116" i="1"/>
  <c r="AC116" i="1"/>
  <c r="AB116" i="1"/>
  <c r="X117" i="1"/>
  <c r="AA108" i="1"/>
  <c r="AC108" i="1"/>
  <c r="AB108" i="1"/>
  <c r="X109" i="1"/>
  <c r="AA100" i="1"/>
  <c r="AC100" i="1"/>
  <c r="X101" i="1"/>
  <c r="AA92" i="1"/>
  <c r="AC92" i="1"/>
  <c r="AB92" i="1"/>
  <c r="X93" i="1"/>
  <c r="AA84" i="1"/>
  <c r="AC84" i="1"/>
  <c r="AB84" i="1"/>
  <c r="X85" i="1"/>
  <c r="AB133" i="1"/>
  <c r="AA133" i="1"/>
  <c r="AB125" i="1"/>
  <c r="AA125" i="1"/>
  <c r="AC125" i="1"/>
  <c r="AB117" i="1"/>
  <c r="AA117" i="1"/>
  <c r="AC117" i="1"/>
  <c r="AB109" i="1"/>
  <c r="AA109" i="1"/>
  <c r="AB101" i="1"/>
  <c r="AA101" i="1"/>
  <c r="AC101" i="1"/>
  <c r="AB93" i="1"/>
  <c r="AA93" i="1"/>
  <c r="AC93" i="1"/>
  <c r="AB85" i="1"/>
  <c r="AA85" i="1"/>
  <c r="AC85" i="1"/>
  <c r="AB77" i="1"/>
  <c r="AA77" i="1"/>
  <c r="AC77" i="1"/>
  <c r="R79" i="1"/>
  <c r="AC75" i="1"/>
  <c r="AB75" i="1"/>
  <c r="AA75" i="1"/>
  <c r="X76" i="1"/>
  <c r="AJ77" i="1"/>
  <c r="AL77" i="1"/>
  <c r="AK77" i="1"/>
  <c r="AG78" i="1"/>
  <c r="BM89" i="1"/>
  <c r="BL89" i="1"/>
  <c r="BK89" i="1"/>
  <c r="BH90" i="1"/>
  <c r="EH18" i="1"/>
  <c r="L157" i="1"/>
  <c r="AC109" i="1"/>
  <c r="AC133" i="1"/>
  <c r="AK132" i="1"/>
  <c r="AU94" i="1"/>
  <c r="EH15" i="1"/>
  <c r="EH4" i="1"/>
  <c r="A172" i="1"/>
  <c r="DS99" i="1"/>
  <c r="CI120" i="1"/>
  <c r="CI77" i="1"/>
  <c r="BH104" i="1"/>
  <c r="AY106" i="1"/>
  <c r="AP111" i="1"/>
  <c r="AP106" i="1"/>
  <c r="AG94" i="1"/>
  <c r="X126" i="1"/>
  <c r="X94" i="1"/>
  <c r="R123" i="1"/>
  <c r="T123" i="1"/>
  <c r="A51" i="8"/>
  <c r="O124" i="1"/>
  <c r="S123" i="1"/>
  <c r="T126" i="1"/>
  <c r="S126" i="1"/>
  <c r="R126" i="1"/>
  <c r="T130" i="1"/>
  <c r="S130" i="1"/>
  <c r="R130" i="1"/>
  <c r="O131" i="1"/>
  <c r="AJ100" i="1"/>
  <c r="BM95" i="1"/>
  <c r="G173" i="1"/>
  <c r="G44" i="6"/>
  <c r="ER34" i="1"/>
  <c r="P173" i="1"/>
  <c r="P44" i="7"/>
  <c r="I173" i="1"/>
  <c r="EQ34" i="1"/>
  <c r="O173" i="1"/>
  <c r="EP34" i="1"/>
  <c r="N173" i="1"/>
  <c r="N44" i="6"/>
  <c r="F173" i="1"/>
  <c r="ES34" i="1"/>
  <c r="Q173" i="1"/>
  <c r="A173" i="1"/>
  <c r="J173" i="1"/>
  <c r="K173" i="1"/>
  <c r="K44" i="7"/>
  <c r="EE126" i="1"/>
  <c r="EG126" i="1"/>
  <c r="EF126" i="1"/>
  <c r="EB127" i="1"/>
  <c r="EE102" i="1"/>
  <c r="EG102" i="1"/>
  <c r="EF102" i="1"/>
  <c r="EB103" i="1"/>
  <c r="EG78" i="1"/>
  <c r="EE78" i="1"/>
  <c r="EF78" i="1"/>
  <c r="EB79" i="1"/>
  <c r="EF113" i="1"/>
  <c r="EG113" i="1"/>
  <c r="EE113" i="1"/>
  <c r="EB114" i="1"/>
  <c r="EF89" i="1"/>
  <c r="EG89" i="1"/>
  <c r="EE89" i="1"/>
  <c r="EB90" i="1"/>
  <c r="DX122" i="1"/>
  <c r="DW122" i="1"/>
  <c r="DV122" i="1"/>
  <c r="DX90" i="1"/>
  <c r="DW90" i="1"/>
  <c r="DV90" i="1"/>
  <c r="DW117" i="1"/>
  <c r="DV117" i="1"/>
  <c r="DX117" i="1"/>
  <c r="DS118" i="1"/>
  <c r="DW93" i="1"/>
  <c r="DV93" i="1"/>
  <c r="DX93" i="1"/>
  <c r="DS94" i="1"/>
  <c r="DO126" i="1"/>
  <c r="DM126" i="1"/>
  <c r="DN126" i="1"/>
  <c r="DJ127" i="1"/>
  <c r="DO102" i="1"/>
  <c r="DM102" i="1"/>
  <c r="DN102" i="1"/>
  <c r="DJ103" i="1"/>
  <c r="DM78" i="1"/>
  <c r="DO78" i="1"/>
  <c r="DN78" i="1"/>
  <c r="DJ79" i="1"/>
  <c r="DN113" i="1"/>
  <c r="DO113" i="1"/>
  <c r="DM113" i="1"/>
  <c r="DJ114" i="1"/>
  <c r="DO89" i="1"/>
  <c r="DN89" i="1"/>
  <c r="DM89" i="1"/>
  <c r="DJ90" i="1"/>
  <c r="DD128" i="1"/>
  <c r="DF128" i="1"/>
  <c r="DE128" i="1"/>
  <c r="DA129" i="1"/>
  <c r="DF104" i="1"/>
  <c r="DD104" i="1"/>
  <c r="DE104" i="1"/>
  <c r="DA105" i="1"/>
  <c r="DD80" i="1"/>
  <c r="DF80" i="1"/>
  <c r="DE80" i="1"/>
  <c r="DA81" i="1"/>
  <c r="DF115" i="1"/>
  <c r="DE115" i="1"/>
  <c r="DD115" i="1"/>
  <c r="DA116" i="1"/>
  <c r="DF91" i="1"/>
  <c r="DE91" i="1"/>
  <c r="DD91" i="1"/>
  <c r="DA92" i="1"/>
  <c r="CV126" i="1"/>
  <c r="CW126" i="1"/>
  <c r="CU126" i="1"/>
  <c r="CR127" i="1"/>
  <c r="CV102" i="1"/>
  <c r="CW102" i="1"/>
  <c r="CU102" i="1"/>
  <c r="CR103" i="1"/>
  <c r="CV78" i="1"/>
  <c r="CW78" i="1"/>
  <c r="CU78" i="1"/>
  <c r="CR79" i="1"/>
  <c r="CU105" i="1"/>
  <c r="CW105" i="1"/>
  <c r="CV105" i="1"/>
  <c r="CR106" i="1"/>
  <c r="CL108" i="1"/>
  <c r="CM108" i="1"/>
  <c r="CN108" i="1"/>
  <c r="CI109" i="1"/>
  <c r="EH37" i="1"/>
  <c r="BB121" i="1"/>
  <c r="BD121" i="1"/>
  <c r="AY122" i="1"/>
  <c r="L173" i="1"/>
  <c r="EH55" i="1"/>
  <c r="DJ130" i="1"/>
  <c r="CI128" i="1"/>
  <c r="BH112" i="1"/>
  <c r="AY114" i="1"/>
  <c r="AP119" i="1"/>
  <c r="X134" i="1"/>
  <c r="X102" i="1"/>
  <c r="J174" i="1"/>
  <c r="EP35" i="1"/>
  <c r="N174" i="1"/>
  <c r="K186" i="1"/>
  <c r="K57" i="7"/>
  <c r="EH13" i="1"/>
  <c r="J152" i="1"/>
  <c r="R99" i="1"/>
  <c r="T99" i="1"/>
  <c r="A27" i="8"/>
  <c r="S102" i="1"/>
  <c r="T102" i="1"/>
  <c r="R102" i="1"/>
  <c r="S106" i="1"/>
  <c r="O107" i="1"/>
  <c r="T106" i="1"/>
  <c r="R106" i="1"/>
  <c r="AK125" i="1"/>
  <c r="BC121" i="1"/>
  <c r="K172" i="1"/>
  <c r="K43" i="7"/>
  <c r="EE110" i="1"/>
  <c r="EG110" i="1"/>
  <c r="EF110" i="1"/>
  <c r="EB111" i="1"/>
  <c r="EG86" i="1"/>
  <c r="EF86" i="1"/>
  <c r="EE86" i="1"/>
  <c r="EB87" i="1"/>
  <c r="EF121" i="1"/>
  <c r="EG121" i="1"/>
  <c r="EE121" i="1"/>
  <c r="EB122" i="1"/>
  <c r="EF97" i="1"/>
  <c r="EG97" i="1"/>
  <c r="EE97" i="1"/>
  <c r="EB98" i="1"/>
  <c r="DX130" i="1"/>
  <c r="DW130" i="1"/>
  <c r="DV130" i="1"/>
  <c r="DX106" i="1"/>
  <c r="DW106" i="1"/>
  <c r="DV106" i="1"/>
  <c r="DX82" i="1"/>
  <c r="DW82" i="1"/>
  <c r="DV82" i="1"/>
  <c r="DW125" i="1"/>
  <c r="DX125" i="1"/>
  <c r="DV125" i="1"/>
  <c r="DS126" i="1"/>
  <c r="DW101" i="1"/>
  <c r="DV101" i="1"/>
  <c r="DX101" i="1"/>
  <c r="DS102" i="1"/>
  <c r="DX75" i="1"/>
  <c r="DV75" i="1"/>
  <c r="DW75" i="1"/>
  <c r="DS76" i="1"/>
  <c r="DO110" i="1"/>
  <c r="DM110" i="1"/>
  <c r="DN110" i="1"/>
  <c r="DJ111" i="1"/>
  <c r="DM86" i="1"/>
  <c r="DO86" i="1"/>
  <c r="DN86" i="1"/>
  <c r="DJ87" i="1"/>
  <c r="DN121" i="1"/>
  <c r="DO121" i="1"/>
  <c r="DM121" i="1"/>
  <c r="DJ122" i="1"/>
  <c r="DN97" i="1"/>
  <c r="DM97" i="1"/>
  <c r="DO97" i="1"/>
  <c r="DJ98" i="1"/>
  <c r="DO77" i="1"/>
  <c r="DN77" i="1"/>
  <c r="DM77" i="1"/>
  <c r="DJ78" i="1"/>
  <c r="DD112" i="1"/>
  <c r="DF112" i="1"/>
  <c r="DE112" i="1"/>
  <c r="DA113" i="1"/>
  <c r="DF88" i="1"/>
  <c r="DD88" i="1"/>
  <c r="DE88" i="1"/>
  <c r="DF123" i="1"/>
  <c r="DE123" i="1"/>
  <c r="DD123" i="1"/>
  <c r="DF99" i="1"/>
  <c r="DE99" i="1"/>
  <c r="DD99" i="1"/>
  <c r="DA100" i="1"/>
  <c r="DF75" i="1"/>
  <c r="DE75" i="1"/>
  <c r="DD75" i="1"/>
  <c r="DA76" i="1"/>
  <c r="CV110" i="1"/>
  <c r="CW110" i="1"/>
  <c r="CU110" i="1"/>
  <c r="CR111" i="1"/>
  <c r="CV86" i="1"/>
  <c r="CW86" i="1"/>
  <c r="CU86" i="1"/>
  <c r="CR87" i="1"/>
  <c r="CW121" i="1"/>
  <c r="CU121" i="1"/>
  <c r="CV121" i="1"/>
  <c r="CR122" i="1"/>
  <c r="CU97" i="1"/>
  <c r="CV97" i="1"/>
  <c r="CW97" i="1"/>
  <c r="CR98" i="1"/>
  <c r="CL92" i="1"/>
  <c r="CM92" i="1"/>
  <c r="CN92" i="1"/>
  <c r="CI93" i="1"/>
  <c r="BC78" i="1"/>
  <c r="BB78" i="1"/>
  <c r="EH7" i="1"/>
  <c r="AY79" i="1"/>
  <c r="H172" i="1"/>
  <c r="H43" i="7"/>
  <c r="EU33" i="1"/>
  <c r="S172" i="1"/>
  <c r="S43" i="7"/>
  <c r="EH21" i="1"/>
  <c r="EB80" i="1"/>
  <c r="DS115" i="1"/>
  <c r="DS83" i="1"/>
  <c r="DA124" i="1"/>
  <c r="CI104" i="1"/>
  <c r="BH120" i="1"/>
  <c r="AY97" i="1"/>
  <c r="AP127" i="1"/>
  <c r="AP90" i="1"/>
  <c r="AG125" i="1"/>
  <c r="X110" i="1"/>
  <c r="X78" i="1"/>
  <c r="ER35" i="1"/>
  <c r="P174" i="1"/>
  <c r="R85" i="1"/>
  <c r="A17" i="8"/>
  <c r="T89" i="1"/>
  <c r="R89" i="1"/>
  <c r="S89" i="1"/>
  <c r="O90" i="1"/>
  <c r="S96" i="1"/>
  <c r="T96" i="1"/>
  <c r="O97" i="1"/>
  <c r="R96" i="1"/>
  <c r="S99" i="1"/>
  <c r="AB100" i="1"/>
  <c r="AJ84" i="1"/>
  <c r="I182" i="1"/>
  <c r="EG132" i="1"/>
  <c r="EE132" i="1"/>
  <c r="EF132" i="1"/>
  <c r="EG124" i="1"/>
  <c r="EE124" i="1"/>
  <c r="EF124" i="1"/>
  <c r="EG116" i="1"/>
  <c r="EE116" i="1"/>
  <c r="EF116" i="1"/>
  <c r="EG108" i="1"/>
  <c r="EE108" i="1"/>
  <c r="EF108" i="1"/>
  <c r="EG100" i="1"/>
  <c r="EE100" i="1"/>
  <c r="EF100" i="1"/>
  <c r="EG92" i="1"/>
  <c r="EE92" i="1"/>
  <c r="EF92" i="1"/>
  <c r="EE84" i="1"/>
  <c r="EG84" i="1"/>
  <c r="EF84" i="1"/>
  <c r="EE76" i="1"/>
  <c r="EF76" i="1"/>
  <c r="EG76" i="1"/>
  <c r="EF127" i="1"/>
  <c r="EG127" i="1"/>
  <c r="EE127" i="1"/>
  <c r="EF119" i="1"/>
  <c r="EG119" i="1"/>
  <c r="EE119" i="1"/>
  <c r="EF111" i="1"/>
  <c r="EG111" i="1"/>
  <c r="EE111" i="1"/>
  <c r="EF103" i="1"/>
  <c r="EG103" i="1"/>
  <c r="EE103" i="1"/>
  <c r="EF95" i="1"/>
  <c r="EG95" i="1"/>
  <c r="EE95" i="1"/>
  <c r="EE87" i="1"/>
  <c r="EG87" i="1"/>
  <c r="EF87" i="1"/>
  <c r="EF77" i="1"/>
  <c r="EG77" i="1"/>
  <c r="EE77" i="1"/>
  <c r="DV128" i="1"/>
  <c r="DX128" i="1"/>
  <c r="DW128" i="1"/>
  <c r="DV120" i="1"/>
  <c r="DX120" i="1"/>
  <c r="DW120" i="1"/>
  <c r="DV112" i="1"/>
  <c r="DX112" i="1"/>
  <c r="DW112" i="1"/>
  <c r="DV104" i="1"/>
  <c r="DX104" i="1"/>
  <c r="DW104" i="1"/>
  <c r="DV96" i="1"/>
  <c r="DX96" i="1"/>
  <c r="DW96" i="1"/>
  <c r="DV88" i="1"/>
  <c r="DX88" i="1"/>
  <c r="DW88" i="1"/>
  <c r="DV80" i="1"/>
  <c r="DX80" i="1"/>
  <c r="DW80" i="1"/>
  <c r="DW131" i="1"/>
  <c r="DV131" i="1"/>
  <c r="DX131" i="1"/>
  <c r="DX123" i="1"/>
  <c r="DW123" i="1"/>
  <c r="DV123" i="1"/>
  <c r="DW115" i="1"/>
  <c r="DV115" i="1"/>
  <c r="DX115" i="1"/>
  <c r="DW107" i="1"/>
  <c r="DX107" i="1"/>
  <c r="DV107" i="1"/>
  <c r="DW99" i="1"/>
  <c r="DX99" i="1"/>
  <c r="DV99" i="1"/>
  <c r="DW91" i="1"/>
  <c r="DV91" i="1"/>
  <c r="DX91" i="1"/>
  <c r="DW81" i="1"/>
  <c r="DX81" i="1"/>
  <c r="DV81" i="1"/>
  <c r="DM132" i="1"/>
  <c r="DO132" i="1"/>
  <c r="DN132" i="1"/>
  <c r="DM124" i="1"/>
  <c r="DO124" i="1"/>
  <c r="DN124" i="1"/>
  <c r="DM116" i="1"/>
  <c r="DO116" i="1"/>
  <c r="DN116" i="1"/>
  <c r="DM108" i="1"/>
  <c r="DO108" i="1"/>
  <c r="DN108" i="1"/>
  <c r="DM100" i="1"/>
  <c r="DO100" i="1"/>
  <c r="DN100" i="1"/>
  <c r="DO92" i="1"/>
  <c r="DM92" i="1"/>
  <c r="DN92" i="1"/>
  <c r="DO84" i="1"/>
  <c r="DN84" i="1"/>
  <c r="DM84" i="1"/>
  <c r="DO76" i="1"/>
  <c r="DM76" i="1"/>
  <c r="DN76" i="1"/>
  <c r="DN127" i="1"/>
  <c r="DO127" i="1"/>
  <c r="DM127" i="1"/>
  <c r="DN119" i="1"/>
  <c r="DO119" i="1"/>
  <c r="DM119" i="1"/>
  <c r="DN111" i="1"/>
  <c r="DO111" i="1"/>
  <c r="DM111" i="1"/>
  <c r="DN103" i="1"/>
  <c r="DO103" i="1"/>
  <c r="DM103" i="1"/>
  <c r="DN95" i="1"/>
  <c r="DO95" i="1"/>
  <c r="DM95" i="1"/>
  <c r="DN87" i="1"/>
  <c r="DO87" i="1"/>
  <c r="DM87" i="1"/>
  <c r="DN83" i="1"/>
  <c r="DM83" i="1"/>
  <c r="DO83" i="1"/>
  <c r="DN75" i="1"/>
  <c r="DO75" i="1"/>
  <c r="DM75" i="1"/>
  <c r="DE126" i="1"/>
  <c r="DD126" i="1"/>
  <c r="DF126" i="1"/>
  <c r="DE118" i="1"/>
  <c r="DF118" i="1"/>
  <c r="DD118" i="1"/>
  <c r="DE110" i="1"/>
  <c r="DD110" i="1"/>
  <c r="DF110" i="1"/>
  <c r="DE102" i="1"/>
  <c r="DD102" i="1"/>
  <c r="DF102" i="1"/>
  <c r="DE94" i="1"/>
  <c r="DD94" i="1"/>
  <c r="DF94" i="1"/>
  <c r="DE86" i="1"/>
  <c r="DD86" i="1"/>
  <c r="DF86" i="1"/>
  <c r="DE78" i="1"/>
  <c r="DD78" i="1"/>
  <c r="DF78" i="1"/>
  <c r="DD129" i="1"/>
  <c r="DF129" i="1"/>
  <c r="DE129" i="1"/>
  <c r="DD121" i="1"/>
  <c r="DF121" i="1"/>
  <c r="DE121" i="1"/>
  <c r="DD113" i="1"/>
  <c r="DF113" i="1"/>
  <c r="DE113" i="1"/>
  <c r="DD105" i="1"/>
  <c r="DF105" i="1"/>
  <c r="DE105" i="1"/>
  <c r="DD97" i="1"/>
  <c r="DF97" i="1"/>
  <c r="DE97" i="1"/>
  <c r="DD89" i="1"/>
  <c r="DF89" i="1"/>
  <c r="DE89" i="1"/>
  <c r="DD81" i="1"/>
  <c r="DF81" i="1"/>
  <c r="DE81" i="1"/>
  <c r="CU132" i="1"/>
  <c r="CW132" i="1"/>
  <c r="CV132" i="1"/>
  <c r="CV124" i="1"/>
  <c r="CW124" i="1"/>
  <c r="CU124" i="1"/>
  <c r="CV116" i="1"/>
  <c r="CW116" i="1"/>
  <c r="CU116" i="1"/>
  <c r="CU108" i="1"/>
  <c r="CW108" i="1"/>
  <c r="CV108" i="1"/>
  <c r="CW100" i="1"/>
  <c r="CV100" i="1"/>
  <c r="CU100" i="1"/>
  <c r="CU92" i="1"/>
  <c r="CW92" i="1"/>
  <c r="CV92" i="1"/>
  <c r="CW84" i="1"/>
  <c r="CV84" i="1"/>
  <c r="CU84" i="1"/>
  <c r="CU76" i="1"/>
  <c r="CW76" i="1"/>
  <c r="CV76" i="1"/>
  <c r="CU127" i="1"/>
  <c r="CW127" i="1"/>
  <c r="CV127" i="1"/>
  <c r="CU119" i="1"/>
  <c r="CW119" i="1"/>
  <c r="CV119" i="1"/>
  <c r="CW111" i="1"/>
  <c r="CV111" i="1"/>
  <c r="CU111" i="1"/>
  <c r="CW103" i="1"/>
  <c r="CV103" i="1"/>
  <c r="CU103" i="1"/>
  <c r="CW95" i="1"/>
  <c r="CV95" i="1"/>
  <c r="CU95" i="1"/>
  <c r="CW87" i="1"/>
  <c r="CV87" i="1"/>
  <c r="CU87" i="1"/>
  <c r="CW79" i="1"/>
  <c r="CV79" i="1"/>
  <c r="CU79" i="1"/>
  <c r="CN130" i="1"/>
  <c r="CM130" i="1"/>
  <c r="CL130" i="1"/>
  <c r="CN122" i="1"/>
  <c r="CM122" i="1"/>
  <c r="CL122" i="1"/>
  <c r="CN114" i="1"/>
  <c r="CM114" i="1"/>
  <c r="CL114" i="1"/>
  <c r="CN106" i="1"/>
  <c r="CM106" i="1"/>
  <c r="CL106" i="1"/>
  <c r="CN98" i="1"/>
  <c r="CM98" i="1"/>
  <c r="CL98" i="1"/>
  <c r="CI91" i="1"/>
  <c r="CN90" i="1"/>
  <c r="CM90" i="1"/>
  <c r="CL90" i="1"/>
  <c r="CN82" i="1"/>
  <c r="CM82" i="1"/>
  <c r="CL82" i="1"/>
  <c r="CM133" i="1"/>
  <c r="CL133" i="1"/>
  <c r="CN133" i="1"/>
  <c r="CM125" i="1"/>
  <c r="CN125" i="1"/>
  <c r="CL125" i="1"/>
  <c r="CM117" i="1"/>
  <c r="CL117" i="1"/>
  <c r="CN117" i="1"/>
  <c r="CM109" i="1"/>
  <c r="CN109" i="1"/>
  <c r="CL109" i="1"/>
  <c r="CM101" i="1"/>
  <c r="CL101" i="1"/>
  <c r="CN101" i="1"/>
  <c r="CM93" i="1"/>
  <c r="CN93" i="1"/>
  <c r="CL93" i="1"/>
  <c r="CM85" i="1"/>
  <c r="CL85" i="1"/>
  <c r="CN85" i="1"/>
  <c r="CM77" i="1"/>
  <c r="CL77" i="1"/>
  <c r="CN77" i="1"/>
  <c r="CE128" i="1"/>
  <c r="CC128" i="1"/>
  <c r="CE120" i="1"/>
  <c r="CC120" i="1"/>
  <c r="CD120" i="1"/>
  <c r="CE112" i="1"/>
  <c r="CC112" i="1"/>
  <c r="CD112" i="1"/>
  <c r="CE104" i="1"/>
  <c r="CC104" i="1"/>
  <c r="CD104" i="1"/>
  <c r="CC96" i="1"/>
  <c r="CE96" i="1"/>
  <c r="CD96" i="1"/>
  <c r="CC88" i="1"/>
  <c r="CD88" i="1"/>
  <c r="CE88" i="1"/>
  <c r="CC80" i="1"/>
  <c r="CE80" i="1"/>
  <c r="CD80" i="1"/>
  <c r="CC131" i="1"/>
  <c r="CE131" i="1"/>
  <c r="CD131" i="1"/>
  <c r="CD123" i="1"/>
  <c r="CE123" i="1"/>
  <c r="CC123" i="1"/>
  <c r="CD115" i="1"/>
  <c r="CE115" i="1"/>
  <c r="CC115" i="1"/>
  <c r="CD107" i="1"/>
  <c r="CE107" i="1"/>
  <c r="CC99" i="1"/>
  <c r="CE99" i="1"/>
  <c r="CD99" i="1"/>
  <c r="CE91" i="1"/>
  <c r="CD91" i="1"/>
  <c r="CC91" i="1"/>
  <c r="CC83" i="1"/>
  <c r="CE83" i="1"/>
  <c r="CE75" i="1"/>
  <c r="CD75" i="1"/>
  <c r="CC75" i="1"/>
  <c r="BT126" i="1"/>
  <c r="BV126" i="1"/>
  <c r="BU126" i="1"/>
  <c r="BV118" i="1"/>
  <c r="BU118" i="1"/>
  <c r="BT118" i="1"/>
  <c r="BT110" i="1"/>
  <c r="BV110" i="1"/>
  <c r="BU110" i="1"/>
  <c r="BV102" i="1"/>
  <c r="BU102" i="1"/>
  <c r="BT102" i="1"/>
  <c r="BT94" i="1"/>
  <c r="BV94" i="1"/>
  <c r="BU94" i="1"/>
  <c r="BV86" i="1"/>
  <c r="BU86" i="1"/>
  <c r="BT86" i="1"/>
  <c r="BV78" i="1"/>
  <c r="BU78" i="1"/>
  <c r="BT78" i="1"/>
  <c r="BV129" i="1"/>
  <c r="BU129" i="1"/>
  <c r="BT129" i="1"/>
  <c r="BV121" i="1"/>
  <c r="BU121" i="1"/>
  <c r="BV113" i="1"/>
  <c r="BU113" i="1"/>
  <c r="BT113" i="1"/>
  <c r="BV105" i="1"/>
  <c r="BU105" i="1"/>
  <c r="BT105" i="1"/>
  <c r="BV97" i="1"/>
  <c r="BU97" i="1"/>
  <c r="BT97" i="1"/>
  <c r="BV89" i="1"/>
  <c r="BU89" i="1"/>
  <c r="BT89" i="1"/>
  <c r="BV81" i="1"/>
  <c r="BU81" i="1"/>
  <c r="BT81" i="1"/>
  <c r="BM132" i="1"/>
  <c r="BL132" i="1"/>
  <c r="BK132" i="1"/>
  <c r="BM124" i="1"/>
  <c r="BL124" i="1"/>
  <c r="BK124" i="1"/>
  <c r="BM116" i="1"/>
  <c r="BL116" i="1"/>
  <c r="BK116" i="1"/>
  <c r="BM108" i="1"/>
  <c r="BL108" i="1"/>
  <c r="BK108" i="1"/>
  <c r="BM100" i="1"/>
  <c r="BL100" i="1"/>
  <c r="BK100" i="1"/>
  <c r="BM92" i="1"/>
  <c r="BL92" i="1"/>
  <c r="BK92" i="1"/>
  <c r="BK82" i="1"/>
  <c r="BM82" i="1"/>
  <c r="BL82" i="1"/>
  <c r="BM133" i="1"/>
  <c r="BL133" i="1"/>
  <c r="BM125" i="1"/>
  <c r="BL125" i="1"/>
  <c r="BK125" i="1"/>
  <c r="BM117" i="1"/>
  <c r="BL117" i="1"/>
  <c r="BM109" i="1"/>
  <c r="BL109" i="1"/>
  <c r="BK109" i="1"/>
  <c r="BM101" i="1"/>
  <c r="BL101" i="1"/>
  <c r="BM93" i="1"/>
  <c r="BL93" i="1"/>
  <c r="BK93" i="1"/>
  <c r="BL83" i="1"/>
  <c r="BK83" i="1"/>
  <c r="BM83" i="1"/>
  <c r="BL75" i="1"/>
  <c r="BK75" i="1"/>
  <c r="BM75" i="1"/>
  <c r="BC126" i="1"/>
  <c r="BB126" i="1"/>
  <c r="AY119" i="1"/>
  <c r="BC118" i="1"/>
  <c r="BB118" i="1"/>
  <c r="BC110" i="1"/>
  <c r="BB110" i="1"/>
  <c r="BC102" i="1"/>
  <c r="BB102" i="1"/>
  <c r="BC94" i="1"/>
  <c r="BB94" i="1"/>
  <c r="BC84" i="1"/>
  <c r="BD84" i="1"/>
  <c r="BC76" i="1"/>
  <c r="BB76" i="1"/>
  <c r="BD127" i="1"/>
  <c r="BB127" i="1"/>
  <c r="ET56" i="1"/>
  <c r="BC127" i="1"/>
  <c r="BD119" i="1"/>
  <c r="BB119" i="1"/>
  <c r="BC119" i="1"/>
  <c r="BD111" i="1"/>
  <c r="BB111" i="1"/>
  <c r="BC111" i="1"/>
  <c r="BD103" i="1"/>
  <c r="BB103" i="1"/>
  <c r="BC103" i="1"/>
  <c r="BD95" i="1"/>
  <c r="BB95" i="1"/>
  <c r="BC95" i="1"/>
  <c r="BB81" i="1"/>
  <c r="BD81" i="1"/>
  <c r="AU132" i="1"/>
  <c r="AT132" i="1"/>
  <c r="AU124" i="1"/>
  <c r="AT124" i="1"/>
  <c r="AS124" i="1"/>
  <c r="AU116" i="1"/>
  <c r="AT116" i="1"/>
  <c r="AU108" i="1"/>
  <c r="AT108" i="1"/>
  <c r="AS108" i="1"/>
  <c r="AU100" i="1"/>
  <c r="AT100" i="1"/>
  <c r="AU92" i="1"/>
  <c r="AT92" i="1"/>
  <c r="AS92" i="1"/>
  <c r="AU84" i="1"/>
  <c r="AT84" i="1"/>
  <c r="AU76" i="1"/>
  <c r="AT76" i="1"/>
  <c r="AS76" i="1"/>
  <c r="AT127" i="1"/>
  <c r="EU56" i="1"/>
  <c r="S195" i="1"/>
  <c r="AU127" i="1"/>
  <c r="AS127" i="1"/>
  <c r="AT119" i="1"/>
  <c r="AS119" i="1"/>
  <c r="AT111" i="1"/>
  <c r="AU111" i="1"/>
  <c r="AS111" i="1"/>
  <c r="AT103" i="1"/>
  <c r="AS103" i="1"/>
  <c r="AT95" i="1"/>
  <c r="AU95" i="1"/>
  <c r="AS95" i="1"/>
  <c r="AT87" i="1"/>
  <c r="AS87" i="1"/>
  <c r="AT79" i="1"/>
  <c r="AU79" i="1"/>
  <c r="AS79" i="1"/>
  <c r="AK130" i="1"/>
  <c r="AJ130" i="1"/>
  <c r="AK122" i="1"/>
  <c r="AL122" i="1"/>
  <c r="AJ122" i="1"/>
  <c r="AK114" i="1"/>
  <c r="AJ114" i="1"/>
  <c r="AK106" i="1"/>
  <c r="AJ106" i="1"/>
  <c r="AK98" i="1"/>
  <c r="AJ98" i="1"/>
  <c r="AK90" i="1"/>
  <c r="AJ90" i="1"/>
  <c r="AK82" i="1"/>
  <c r="AJ82" i="1"/>
  <c r="AL131" i="1"/>
  <c r="AK131" i="1"/>
  <c r="AJ131" i="1"/>
  <c r="AL123" i="1"/>
  <c r="AJ123" i="1"/>
  <c r="AL115" i="1"/>
  <c r="AK115" i="1"/>
  <c r="AJ115" i="1"/>
  <c r="AL107" i="1"/>
  <c r="AK107" i="1"/>
  <c r="AJ107" i="1"/>
  <c r="AL99" i="1"/>
  <c r="EV28" i="1"/>
  <c r="T167" i="1"/>
  <c r="T38" i="7"/>
  <c r="AK99" i="1"/>
  <c r="AJ99" i="1"/>
  <c r="AL91" i="1"/>
  <c r="AK91" i="1"/>
  <c r="AJ91" i="1"/>
  <c r="AL83" i="1"/>
  <c r="AK83" i="1"/>
  <c r="AJ83" i="1"/>
  <c r="AC130" i="1"/>
  <c r="AB130" i="1"/>
  <c r="AA130" i="1"/>
  <c r="AC122" i="1"/>
  <c r="AB122" i="1"/>
  <c r="AA122" i="1"/>
  <c r="AC114" i="1"/>
  <c r="AB114" i="1"/>
  <c r="AA114" i="1"/>
  <c r="AC106" i="1"/>
  <c r="AB106" i="1"/>
  <c r="AA106" i="1"/>
  <c r="AC98" i="1"/>
  <c r="AB98" i="1"/>
  <c r="AA98" i="1"/>
  <c r="AC90" i="1"/>
  <c r="AB90" i="1"/>
  <c r="AA90" i="1"/>
  <c r="AC82" i="1"/>
  <c r="AB82" i="1"/>
  <c r="AA82" i="1"/>
  <c r="AC131" i="1"/>
  <c r="AB131" i="1"/>
  <c r="AC123" i="1"/>
  <c r="EV52" i="1"/>
  <c r="T191" i="1"/>
  <c r="AB123" i="1"/>
  <c r="AC115" i="1"/>
  <c r="AB115" i="1"/>
  <c r="AC107" i="1"/>
  <c r="AB107" i="1"/>
  <c r="AC99" i="1"/>
  <c r="AB99" i="1"/>
  <c r="AC91" i="1"/>
  <c r="AB91" i="1"/>
  <c r="AC83" i="1"/>
  <c r="AB83" i="1"/>
  <c r="T107" i="1"/>
  <c r="S124" i="1"/>
  <c r="R124" i="1"/>
  <c r="A55" i="8"/>
  <c r="R127" i="1"/>
  <c r="T127" i="1"/>
  <c r="S133" i="1"/>
  <c r="AA76" i="1"/>
  <c r="AC76" i="1"/>
  <c r="BB85" i="1"/>
  <c r="BD85" i="1"/>
  <c r="BC85" i="1"/>
  <c r="BK90" i="1"/>
  <c r="BM90" i="1"/>
  <c r="R75" i="1"/>
  <c r="T78" i="1"/>
  <c r="R82" i="1"/>
  <c r="R86" i="1"/>
  <c r="R88" i="1"/>
  <c r="T90" i="1"/>
  <c r="R104" i="1"/>
  <c r="R118" i="1"/>
  <c r="R120" i="1"/>
  <c r="AA115" i="1"/>
  <c r="AL90" i="1"/>
  <c r="AL106" i="1"/>
  <c r="AU103" i="1"/>
  <c r="AS132" i="1"/>
  <c r="BC81" i="1"/>
  <c r="BD102" i="1"/>
  <c r="BK101" i="1"/>
  <c r="CD83" i="1"/>
  <c r="G150" i="1"/>
  <c r="H152" i="1"/>
  <c r="H23" i="7"/>
  <c r="F174" i="1"/>
  <c r="K174" i="1"/>
  <c r="K45" i="7"/>
  <c r="J191" i="1"/>
  <c r="EE130" i="1"/>
  <c r="EG130" i="1"/>
  <c r="EF130" i="1"/>
  <c r="EE122" i="1"/>
  <c r="EG122" i="1"/>
  <c r="EF122" i="1"/>
  <c r="EE114" i="1"/>
  <c r="EG114" i="1"/>
  <c r="EF114" i="1"/>
  <c r="EE106" i="1"/>
  <c r="EG106" i="1"/>
  <c r="EF106" i="1"/>
  <c r="EE98" i="1"/>
  <c r="EG98" i="1"/>
  <c r="EF98" i="1"/>
  <c r="EG90" i="1"/>
  <c r="EF90" i="1"/>
  <c r="EE90" i="1"/>
  <c r="EG82" i="1"/>
  <c r="EF82" i="1"/>
  <c r="EE82" i="1"/>
  <c r="EG133" i="1"/>
  <c r="EF133" i="1"/>
  <c r="EE133" i="1"/>
  <c r="EF125" i="1"/>
  <c r="EE125" i="1"/>
  <c r="EG125" i="1"/>
  <c r="EF117" i="1"/>
  <c r="EE117" i="1"/>
  <c r="EG117" i="1"/>
  <c r="EF109" i="1"/>
  <c r="EE109" i="1"/>
  <c r="EG109" i="1"/>
  <c r="EF101" i="1"/>
  <c r="EE101" i="1"/>
  <c r="EG101" i="1"/>
  <c r="EF93" i="1"/>
  <c r="EE93" i="1"/>
  <c r="EG93" i="1"/>
  <c r="EF83" i="1"/>
  <c r="EE83" i="1"/>
  <c r="EG83" i="1"/>
  <c r="EE75" i="1"/>
  <c r="EG75" i="1"/>
  <c r="EF75" i="1"/>
  <c r="DX126" i="1"/>
  <c r="DV126" i="1"/>
  <c r="DW126" i="1"/>
  <c r="DX118" i="1"/>
  <c r="DW118" i="1"/>
  <c r="DV118" i="1"/>
  <c r="DX110" i="1"/>
  <c r="DV110" i="1"/>
  <c r="DW110" i="1"/>
  <c r="DX102" i="1"/>
  <c r="DV102" i="1"/>
  <c r="DW102" i="1"/>
  <c r="DX94" i="1"/>
  <c r="DV94" i="1"/>
  <c r="DW94" i="1"/>
  <c r="DX86" i="1"/>
  <c r="DV86" i="1"/>
  <c r="DW86" i="1"/>
  <c r="DW78" i="1"/>
  <c r="DX78" i="1"/>
  <c r="DV78" i="1"/>
  <c r="DW129" i="1"/>
  <c r="DX129" i="1"/>
  <c r="DV129" i="1"/>
  <c r="DW121" i="1"/>
  <c r="DX121" i="1"/>
  <c r="DV121" i="1"/>
  <c r="DW113" i="1"/>
  <c r="DX113" i="1"/>
  <c r="DV113" i="1"/>
  <c r="DW105" i="1"/>
  <c r="DX105" i="1"/>
  <c r="DV105" i="1"/>
  <c r="DW97" i="1"/>
  <c r="DX97" i="1"/>
  <c r="DV97" i="1"/>
  <c r="DW89" i="1"/>
  <c r="DX89" i="1"/>
  <c r="DV89" i="1"/>
  <c r="DX79" i="1"/>
  <c r="DV79" i="1"/>
  <c r="DW79" i="1"/>
  <c r="DO130" i="1"/>
  <c r="DM130" i="1"/>
  <c r="DN130" i="1"/>
  <c r="DO122" i="1"/>
  <c r="DM122" i="1"/>
  <c r="DN122" i="1"/>
  <c r="DO114" i="1"/>
  <c r="DM114" i="1"/>
  <c r="DN114" i="1"/>
  <c r="DO106" i="1"/>
  <c r="DM106" i="1"/>
  <c r="DN106" i="1"/>
  <c r="DM98" i="1"/>
  <c r="DO98" i="1"/>
  <c r="DN98" i="1"/>
  <c r="DM90" i="1"/>
  <c r="DN90" i="1"/>
  <c r="DO90" i="1"/>
  <c r="DM82" i="1"/>
  <c r="DO82" i="1"/>
  <c r="DN82" i="1"/>
  <c r="DN133" i="1"/>
  <c r="DO133" i="1"/>
  <c r="DM133" i="1"/>
  <c r="DN125" i="1"/>
  <c r="DO125" i="1"/>
  <c r="DM125" i="1"/>
  <c r="DN117" i="1"/>
  <c r="DO117" i="1"/>
  <c r="DM117" i="1"/>
  <c r="DN109" i="1"/>
  <c r="DO109" i="1"/>
  <c r="DM109" i="1"/>
  <c r="DN101" i="1"/>
  <c r="DO101" i="1"/>
  <c r="DM101" i="1"/>
  <c r="DO93" i="1"/>
  <c r="DN93" i="1"/>
  <c r="DM93" i="1"/>
  <c r="EF85" i="1"/>
  <c r="EE85" i="1"/>
  <c r="EG85" i="1"/>
  <c r="DN81" i="1"/>
  <c r="DM81" i="1"/>
  <c r="DO81" i="1"/>
  <c r="DF132" i="1"/>
  <c r="DE132" i="1"/>
  <c r="DD132" i="1"/>
  <c r="DE124" i="1"/>
  <c r="DD124" i="1"/>
  <c r="DF124" i="1"/>
  <c r="DF116" i="1"/>
  <c r="DE116" i="1"/>
  <c r="DD116" i="1"/>
  <c r="DE108" i="1"/>
  <c r="DF108" i="1"/>
  <c r="DE100" i="1"/>
  <c r="DD100" i="1"/>
  <c r="DF100" i="1"/>
  <c r="DE92" i="1"/>
  <c r="DF92" i="1"/>
  <c r="DD92" i="1"/>
  <c r="DE84" i="1"/>
  <c r="DF84" i="1"/>
  <c r="DD84" i="1"/>
  <c r="DE76" i="1"/>
  <c r="DF76" i="1"/>
  <c r="DD76" i="1"/>
  <c r="DF127" i="1"/>
  <c r="DE127" i="1"/>
  <c r="DD127" i="1"/>
  <c r="DF119" i="1"/>
  <c r="DD119" i="1"/>
  <c r="DE119" i="1"/>
  <c r="DF111" i="1"/>
  <c r="DD111" i="1"/>
  <c r="DE111" i="1"/>
  <c r="DF103" i="1"/>
  <c r="DD103" i="1"/>
  <c r="DE103" i="1"/>
  <c r="DF95" i="1"/>
  <c r="DD95" i="1"/>
  <c r="DE95" i="1"/>
  <c r="DF87" i="1"/>
  <c r="DD87" i="1"/>
  <c r="DE87" i="1"/>
  <c r="DF79" i="1"/>
  <c r="DD79" i="1"/>
  <c r="DE79" i="1"/>
  <c r="CW130" i="1"/>
  <c r="CU130" i="1"/>
  <c r="CV130" i="1"/>
  <c r="CV122" i="1"/>
  <c r="CU122" i="1"/>
  <c r="CW122" i="1"/>
  <c r="CV114" i="1"/>
  <c r="CU114" i="1"/>
  <c r="CV106" i="1"/>
  <c r="CU106" i="1"/>
  <c r="CW106" i="1"/>
  <c r="CV98" i="1"/>
  <c r="CW98" i="1"/>
  <c r="CU98" i="1"/>
  <c r="CV90" i="1"/>
  <c r="CU90" i="1"/>
  <c r="CW90" i="1"/>
  <c r="CV82" i="1"/>
  <c r="CW82" i="1"/>
  <c r="CU82" i="1"/>
  <c r="CV133" i="1"/>
  <c r="CW133" i="1"/>
  <c r="CU133" i="1"/>
  <c r="CW125" i="1"/>
  <c r="CU125" i="1"/>
  <c r="CV125" i="1"/>
  <c r="CW117" i="1"/>
  <c r="CU117" i="1"/>
  <c r="CV117" i="1"/>
  <c r="CU109" i="1"/>
  <c r="CW109" i="1"/>
  <c r="CV109" i="1"/>
  <c r="CU101" i="1"/>
  <c r="CW101" i="1"/>
  <c r="CV101" i="1"/>
  <c r="CU93" i="1"/>
  <c r="CW93" i="1"/>
  <c r="CV93" i="1"/>
  <c r="CU85" i="1"/>
  <c r="CW85" i="1"/>
  <c r="CU77" i="1"/>
  <c r="CW77" i="1"/>
  <c r="CV77" i="1"/>
  <c r="CL128" i="1"/>
  <c r="CN128" i="1"/>
  <c r="CM128" i="1"/>
  <c r="CL120" i="1"/>
  <c r="CN120" i="1"/>
  <c r="CM120" i="1"/>
  <c r="CL112" i="1"/>
  <c r="CN112" i="1"/>
  <c r="CM112" i="1"/>
  <c r="CL104" i="1"/>
  <c r="CN104" i="1"/>
  <c r="CM104" i="1"/>
  <c r="CL96" i="1"/>
  <c r="CN96" i="1"/>
  <c r="CM96" i="1"/>
  <c r="CL88" i="1"/>
  <c r="CN88" i="1"/>
  <c r="CM88" i="1"/>
  <c r="CL80" i="1"/>
  <c r="CN80" i="1"/>
  <c r="CM80" i="1"/>
  <c r="CM131" i="1"/>
  <c r="CL131" i="1"/>
  <c r="CN131" i="1"/>
  <c r="CN123" i="1"/>
  <c r="CM123" i="1"/>
  <c r="CL123" i="1"/>
  <c r="CM115" i="1"/>
  <c r="CL115" i="1"/>
  <c r="CN107" i="1"/>
  <c r="CM107" i="1"/>
  <c r="CL107" i="1"/>
  <c r="CM99" i="1"/>
  <c r="CL99" i="1"/>
  <c r="CN99" i="1"/>
  <c r="CN91" i="1"/>
  <c r="CM91" i="1"/>
  <c r="CL91" i="1"/>
  <c r="CM83" i="1"/>
  <c r="CL83" i="1"/>
  <c r="CN83" i="1"/>
  <c r="CM75" i="1"/>
  <c r="CL75" i="1"/>
  <c r="CN75" i="1"/>
  <c r="CC126" i="1"/>
  <c r="CE126" i="1"/>
  <c r="CD126" i="1"/>
  <c r="CC118" i="1"/>
  <c r="CE118" i="1"/>
  <c r="CD118" i="1"/>
  <c r="CC110" i="1"/>
  <c r="CE110" i="1"/>
  <c r="CD110" i="1"/>
  <c r="CC102" i="1"/>
  <c r="CE102" i="1"/>
  <c r="CD102" i="1"/>
  <c r="CE94" i="1"/>
  <c r="CD94" i="1"/>
  <c r="CC94" i="1"/>
  <c r="CE86" i="1"/>
  <c r="CD86" i="1"/>
  <c r="CC86" i="1"/>
  <c r="CE78" i="1"/>
  <c r="CD78" i="1"/>
  <c r="CC78" i="1"/>
  <c r="CD129" i="1"/>
  <c r="CE129" i="1"/>
  <c r="CC129" i="1"/>
  <c r="CD121" i="1"/>
  <c r="CE121" i="1"/>
  <c r="CC121" i="1"/>
  <c r="CD113" i="1"/>
  <c r="CE113" i="1"/>
  <c r="CC113" i="1"/>
  <c r="CD105" i="1"/>
  <c r="CE105" i="1"/>
  <c r="CC105" i="1"/>
  <c r="CD97" i="1"/>
  <c r="CC97" i="1"/>
  <c r="CD89" i="1"/>
  <c r="CE89" i="1"/>
  <c r="CC89" i="1"/>
  <c r="CD81" i="1"/>
  <c r="CC81" i="1"/>
  <c r="CE81" i="1"/>
  <c r="BU132" i="1"/>
  <c r="BV132" i="1"/>
  <c r="BT132" i="1"/>
  <c r="BU124" i="1"/>
  <c r="BT124" i="1"/>
  <c r="BV124" i="1"/>
  <c r="BU116" i="1"/>
  <c r="BV116" i="1"/>
  <c r="BT116" i="1"/>
  <c r="BU108" i="1"/>
  <c r="BT108" i="1"/>
  <c r="BV108" i="1"/>
  <c r="BU100" i="1"/>
  <c r="BV100" i="1"/>
  <c r="BT100" i="1"/>
  <c r="BU92" i="1"/>
  <c r="BT92" i="1"/>
  <c r="BU84" i="1"/>
  <c r="BV84" i="1"/>
  <c r="BT84" i="1"/>
  <c r="BU76" i="1"/>
  <c r="BT76" i="1"/>
  <c r="BV76" i="1"/>
  <c r="BT127" i="1"/>
  <c r="BV127" i="1"/>
  <c r="BU127" i="1"/>
  <c r="BT119" i="1"/>
  <c r="BV119" i="1"/>
  <c r="BU119" i="1"/>
  <c r="BT111" i="1"/>
  <c r="BV111" i="1"/>
  <c r="BU111" i="1"/>
  <c r="BT103" i="1"/>
  <c r="BV103" i="1"/>
  <c r="BU103" i="1"/>
  <c r="BT95" i="1"/>
  <c r="BV95" i="1"/>
  <c r="BU95" i="1"/>
  <c r="BT87" i="1"/>
  <c r="BV87" i="1"/>
  <c r="BU87" i="1"/>
  <c r="BT79" i="1"/>
  <c r="BV79" i="1"/>
  <c r="BK130" i="1"/>
  <c r="BM130" i="1"/>
  <c r="BL130" i="1"/>
  <c r="BK122" i="1"/>
  <c r="BM122" i="1"/>
  <c r="BK114" i="1"/>
  <c r="BM114" i="1"/>
  <c r="BL114" i="1"/>
  <c r="BK106" i="1"/>
  <c r="BM106" i="1"/>
  <c r="BK98" i="1"/>
  <c r="BM98" i="1"/>
  <c r="BL98" i="1"/>
  <c r="BM88" i="1"/>
  <c r="BL88" i="1"/>
  <c r="BK88" i="1"/>
  <c r="BM80" i="1"/>
  <c r="BL80" i="1"/>
  <c r="BK80" i="1"/>
  <c r="BL131" i="1"/>
  <c r="BK131" i="1"/>
  <c r="BM131" i="1"/>
  <c r="BL123" i="1"/>
  <c r="BK123" i="1"/>
  <c r="BM123" i="1"/>
  <c r="BL115" i="1"/>
  <c r="BK115" i="1"/>
  <c r="BM115" i="1"/>
  <c r="BL107" i="1"/>
  <c r="BK107" i="1"/>
  <c r="BM107" i="1"/>
  <c r="BL99" i="1"/>
  <c r="BK99" i="1"/>
  <c r="BM99" i="1"/>
  <c r="BL91" i="1"/>
  <c r="BK91" i="1"/>
  <c r="BM91" i="1"/>
  <c r="BM81" i="1"/>
  <c r="BL81" i="1"/>
  <c r="BK81" i="1"/>
  <c r="BD132" i="1"/>
  <c r="BC132" i="1"/>
  <c r="BB132" i="1"/>
  <c r="BC124" i="1"/>
  <c r="BD124" i="1"/>
  <c r="BC116" i="1"/>
  <c r="BD116" i="1"/>
  <c r="BC108" i="1"/>
  <c r="BD108" i="1"/>
  <c r="BC100" i="1"/>
  <c r="BD100" i="1"/>
  <c r="BC92" i="1"/>
  <c r="BD92" i="1"/>
  <c r="BC82" i="1"/>
  <c r="BD82" i="1"/>
  <c r="BB82" i="1"/>
  <c r="BB133" i="1"/>
  <c r="BD133" i="1"/>
  <c r="BB125" i="1"/>
  <c r="BD125" i="1"/>
  <c r="BC125" i="1"/>
  <c r="BB117" i="1"/>
  <c r="BD117" i="1"/>
  <c r="BC117" i="1"/>
  <c r="BB109" i="1"/>
  <c r="BD109" i="1"/>
  <c r="BC109" i="1"/>
  <c r="BB101" i="1"/>
  <c r="BD101" i="1"/>
  <c r="BC101" i="1"/>
  <c r="BB93" i="1"/>
  <c r="BD93" i="1"/>
  <c r="BC93" i="1"/>
  <c r="BD79" i="1"/>
  <c r="BB79" i="1"/>
  <c r="BC79" i="1"/>
  <c r="AS130" i="1"/>
  <c r="AU130" i="1"/>
  <c r="AS122" i="1"/>
  <c r="AU122" i="1"/>
  <c r="AT122" i="1"/>
  <c r="AS114" i="1"/>
  <c r="AU114" i="1"/>
  <c r="AS106" i="1"/>
  <c r="AU106" i="1"/>
  <c r="AT106" i="1"/>
  <c r="AS98" i="1"/>
  <c r="AU98" i="1"/>
  <c r="R91" i="1"/>
  <c r="T91" i="1"/>
  <c r="A19" i="8"/>
  <c r="A39" i="8"/>
  <c r="R111" i="1"/>
  <c r="T111" i="1"/>
  <c r="R117" i="1"/>
  <c r="A49" i="8"/>
  <c r="T121" i="1"/>
  <c r="R121" i="1"/>
  <c r="S128" i="1"/>
  <c r="R128" i="1"/>
  <c r="T131" i="1"/>
  <c r="AL75" i="1"/>
  <c r="AK75" i="1"/>
  <c r="AJ75" i="1"/>
  <c r="BC90" i="1"/>
  <c r="BD90" i="1"/>
  <c r="BB90" i="1"/>
  <c r="S75" i="1"/>
  <c r="T82" i="1"/>
  <c r="T88" i="1"/>
  <c r="S91" i="1"/>
  <c r="R98" i="1"/>
  <c r="T104" i="1"/>
  <c r="R112" i="1"/>
  <c r="T118" i="1"/>
  <c r="AT98" i="1"/>
  <c r="BB84" i="1"/>
  <c r="BD94" i="1"/>
  <c r="BB116" i="1"/>
  <c r="BD126" i="1"/>
  <c r="BL106" i="1"/>
  <c r="BV92" i="1"/>
  <c r="BT121" i="1"/>
  <c r="CD128" i="1"/>
  <c r="CW114" i="1"/>
  <c r="L150" i="1"/>
  <c r="I174" i="1"/>
  <c r="L174" i="1"/>
  <c r="L45" i="7"/>
  <c r="K191" i="1"/>
  <c r="EG128" i="1"/>
  <c r="EE128" i="1"/>
  <c r="EF128" i="1"/>
  <c r="EG120" i="1"/>
  <c r="EE120" i="1"/>
  <c r="EF120" i="1"/>
  <c r="EG112" i="1"/>
  <c r="EE112" i="1"/>
  <c r="EF112" i="1"/>
  <c r="EG104" i="1"/>
  <c r="EE104" i="1"/>
  <c r="EF104" i="1"/>
  <c r="EG96" i="1"/>
  <c r="EE96" i="1"/>
  <c r="EF96" i="1"/>
  <c r="EE88" i="1"/>
  <c r="EG88" i="1"/>
  <c r="EF88" i="1"/>
  <c r="EE80" i="1"/>
  <c r="EG80" i="1"/>
  <c r="EF80" i="1"/>
  <c r="EF131" i="1"/>
  <c r="EG131" i="1"/>
  <c r="EE131" i="1"/>
  <c r="EF123" i="1"/>
  <c r="EG123" i="1"/>
  <c r="EE123" i="1"/>
  <c r="EF115" i="1"/>
  <c r="EG115" i="1"/>
  <c r="EE115" i="1"/>
  <c r="EF107" i="1"/>
  <c r="EG107" i="1"/>
  <c r="EE107" i="1"/>
  <c r="EF99" i="1"/>
  <c r="EG99" i="1"/>
  <c r="EE99" i="1"/>
  <c r="EF91" i="1"/>
  <c r="EG91" i="1"/>
  <c r="EE91" i="1"/>
  <c r="EF81" i="1"/>
  <c r="EG81" i="1"/>
  <c r="EE81" i="1"/>
  <c r="DV132" i="1"/>
  <c r="DX132" i="1"/>
  <c r="DW132" i="1"/>
  <c r="DV124" i="1"/>
  <c r="DW124" i="1"/>
  <c r="DX124" i="1"/>
  <c r="DV116" i="1"/>
  <c r="DX116" i="1"/>
  <c r="DW116" i="1"/>
  <c r="DV108" i="1"/>
  <c r="DW108" i="1"/>
  <c r="DX108" i="1"/>
  <c r="DV100" i="1"/>
  <c r="DW100" i="1"/>
  <c r="DX100" i="1"/>
  <c r="DV92" i="1"/>
  <c r="DW92" i="1"/>
  <c r="DX92" i="1"/>
  <c r="DV84" i="1"/>
  <c r="DW84" i="1"/>
  <c r="DX84" i="1"/>
  <c r="DW76" i="1"/>
  <c r="DX76" i="1"/>
  <c r="DV76" i="1"/>
  <c r="DX127" i="1"/>
  <c r="DW127" i="1"/>
  <c r="DV127" i="1"/>
  <c r="DV119" i="1"/>
  <c r="DX119" i="1"/>
  <c r="DW119" i="1"/>
  <c r="DX111" i="1"/>
  <c r="DV111" i="1"/>
  <c r="DW111" i="1"/>
  <c r="DV103" i="1"/>
  <c r="DX103" i="1"/>
  <c r="DW103" i="1"/>
  <c r="DX95" i="1"/>
  <c r="DV95" i="1"/>
  <c r="DW95" i="1"/>
  <c r="DV87" i="1"/>
  <c r="DX87" i="1"/>
  <c r="DW87" i="1"/>
  <c r="DV77" i="1"/>
  <c r="DX77" i="1"/>
  <c r="DW77" i="1"/>
  <c r="DM128" i="1"/>
  <c r="DO128" i="1"/>
  <c r="DN128" i="1"/>
  <c r="DM120" i="1"/>
  <c r="DO120" i="1"/>
  <c r="DN120" i="1"/>
  <c r="DM112" i="1"/>
  <c r="DO112" i="1"/>
  <c r="DN112" i="1"/>
  <c r="DM104" i="1"/>
  <c r="DO104" i="1"/>
  <c r="DN104" i="1"/>
  <c r="DO96" i="1"/>
  <c r="DN96" i="1"/>
  <c r="DM96" i="1"/>
  <c r="DO88" i="1"/>
  <c r="DN88" i="1"/>
  <c r="DM88" i="1"/>
  <c r="DO80" i="1"/>
  <c r="DN80" i="1"/>
  <c r="DM80" i="1"/>
  <c r="DN131" i="1"/>
  <c r="DM131" i="1"/>
  <c r="DO131" i="1"/>
  <c r="DN123" i="1"/>
  <c r="DM123" i="1"/>
  <c r="DO123" i="1"/>
  <c r="DN115" i="1"/>
  <c r="DM115" i="1"/>
  <c r="DO115" i="1"/>
  <c r="DN107" i="1"/>
  <c r="DM107" i="1"/>
  <c r="DO107" i="1"/>
  <c r="DN99" i="1"/>
  <c r="DM99" i="1"/>
  <c r="DO99" i="1"/>
  <c r="DN91" i="1"/>
  <c r="DO91" i="1"/>
  <c r="DM91" i="1"/>
  <c r="DW85" i="1"/>
  <c r="DV85" i="1"/>
  <c r="DX85" i="1"/>
  <c r="DN79" i="1"/>
  <c r="DO79" i="1"/>
  <c r="DM79" i="1"/>
  <c r="DE130" i="1"/>
  <c r="DF130" i="1"/>
  <c r="DD130" i="1"/>
  <c r="DE122" i="1"/>
  <c r="DF122" i="1"/>
  <c r="DD122" i="1"/>
  <c r="DE114" i="1"/>
  <c r="DF114" i="1"/>
  <c r="DD114" i="1"/>
  <c r="DE106" i="1"/>
  <c r="DF106" i="1"/>
  <c r="DD106" i="1"/>
  <c r="DE98" i="1"/>
  <c r="DF98" i="1"/>
  <c r="DD98" i="1"/>
  <c r="DE90" i="1"/>
  <c r="DF90" i="1"/>
  <c r="DD90" i="1"/>
  <c r="DE82" i="1"/>
  <c r="DF82" i="1"/>
  <c r="DD82" i="1"/>
  <c r="DD133" i="1"/>
  <c r="DE133" i="1"/>
  <c r="DF133" i="1"/>
  <c r="DD125" i="1"/>
  <c r="DF125" i="1"/>
  <c r="DE125" i="1"/>
  <c r="DD117" i="1"/>
  <c r="DE117" i="1"/>
  <c r="DF117" i="1"/>
  <c r="DD109" i="1"/>
  <c r="DE109" i="1"/>
  <c r="DF109" i="1"/>
  <c r="DD101" i="1"/>
  <c r="DE101" i="1"/>
  <c r="DF101" i="1"/>
  <c r="DD93" i="1"/>
  <c r="DE93" i="1"/>
  <c r="DF93" i="1"/>
  <c r="DD85" i="1"/>
  <c r="DE85" i="1"/>
  <c r="DF85" i="1"/>
  <c r="DD77" i="1"/>
  <c r="DE77" i="1"/>
  <c r="DF77" i="1"/>
  <c r="CV128" i="1"/>
  <c r="CW128" i="1"/>
  <c r="CU128" i="1"/>
  <c r="CV120" i="1"/>
  <c r="CW120" i="1"/>
  <c r="CU120" i="1"/>
  <c r="CV112" i="1"/>
  <c r="CW112" i="1"/>
  <c r="CU112" i="1"/>
  <c r="CV104" i="1"/>
  <c r="CU104" i="1"/>
  <c r="CW104" i="1"/>
  <c r="CW96" i="1"/>
  <c r="CV96" i="1"/>
  <c r="CU96" i="1"/>
  <c r="CV88" i="1"/>
  <c r="CU88" i="1"/>
  <c r="CW88" i="1"/>
  <c r="CW80" i="1"/>
  <c r="CV80" i="1"/>
  <c r="CU80" i="1"/>
  <c r="CW131" i="1"/>
  <c r="CU131" i="1"/>
  <c r="CV131" i="1"/>
  <c r="CU123" i="1"/>
  <c r="CW123" i="1"/>
  <c r="CV123" i="1"/>
  <c r="CU115" i="1"/>
  <c r="CW115" i="1"/>
  <c r="CV115" i="1"/>
  <c r="CW107" i="1"/>
  <c r="CV107" i="1"/>
  <c r="CU107" i="1"/>
  <c r="CW99" i="1"/>
  <c r="CU99" i="1"/>
  <c r="CV99" i="1"/>
  <c r="CW91" i="1"/>
  <c r="CV91" i="1"/>
  <c r="CU91" i="1"/>
  <c r="CW83" i="1"/>
  <c r="CU83" i="1"/>
  <c r="CV83" i="1"/>
  <c r="CW75" i="1"/>
  <c r="CV75" i="1"/>
  <c r="CU75" i="1"/>
  <c r="CN126" i="1"/>
  <c r="CL126" i="1"/>
  <c r="CM126" i="1"/>
  <c r="CN118" i="1"/>
  <c r="CM118" i="1"/>
  <c r="CL118" i="1"/>
  <c r="CN110" i="1"/>
  <c r="CL110" i="1"/>
  <c r="CM110" i="1"/>
  <c r="CN102" i="1"/>
  <c r="CM102" i="1"/>
  <c r="CL102" i="1"/>
  <c r="CN94" i="1"/>
  <c r="CL94" i="1"/>
  <c r="CM94" i="1"/>
  <c r="CN86" i="1"/>
  <c r="CM86" i="1"/>
  <c r="CL86" i="1"/>
  <c r="CN78" i="1"/>
  <c r="CL78" i="1"/>
  <c r="CM78" i="1"/>
  <c r="CM129" i="1"/>
  <c r="CN129" i="1"/>
  <c r="CL129" i="1"/>
  <c r="CM121" i="1"/>
  <c r="CN121" i="1"/>
  <c r="CL121" i="1"/>
  <c r="CM113" i="1"/>
  <c r="CN113" i="1"/>
  <c r="CL113" i="1"/>
  <c r="CM105" i="1"/>
  <c r="CN105" i="1"/>
  <c r="CL105" i="1"/>
  <c r="CM97" i="1"/>
  <c r="CN97" i="1"/>
  <c r="CL97" i="1"/>
  <c r="CM89" i="1"/>
  <c r="CN89" i="1"/>
  <c r="CL89" i="1"/>
  <c r="CM81" i="1"/>
  <c r="CN81" i="1"/>
  <c r="CL81" i="1"/>
  <c r="CD132" i="1"/>
  <c r="CE132" i="1"/>
  <c r="CC132" i="1"/>
  <c r="CE124" i="1"/>
  <c r="CC124" i="1"/>
  <c r="CD124" i="1"/>
  <c r="CE116" i="1"/>
  <c r="CC116" i="1"/>
  <c r="CD116" i="1"/>
  <c r="CE108" i="1"/>
  <c r="CC108" i="1"/>
  <c r="CD108" i="1"/>
  <c r="CE100" i="1"/>
  <c r="CC100" i="1"/>
  <c r="CD100" i="1"/>
  <c r="CC92" i="1"/>
  <c r="CE92" i="1"/>
  <c r="CD92" i="1"/>
  <c r="CC84" i="1"/>
  <c r="CE84" i="1"/>
  <c r="CD84" i="1"/>
  <c r="CC76" i="1"/>
  <c r="CE76" i="1"/>
  <c r="CD127" i="1"/>
  <c r="CE127" i="1"/>
  <c r="CC127" i="1"/>
  <c r="CD119" i="1"/>
  <c r="CE119" i="1"/>
  <c r="CC119" i="1"/>
  <c r="CD111" i="1"/>
  <c r="CE111" i="1"/>
  <c r="CC111" i="1"/>
  <c r="CD103" i="1"/>
  <c r="CE103" i="1"/>
  <c r="CC103" i="1"/>
  <c r="CD95" i="1"/>
  <c r="CC95" i="1"/>
  <c r="CE95" i="1"/>
  <c r="CE87" i="1"/>
  <c r="CD87" i="1"/>
  <c r="CC87" i="1"/>
  <c r="CD79" i="1"/>
  <c r="CC79" i="1"/>
  <c r="CE79" i="1"/>
  <c r="BV130" i="1"/>
  <c r="BU130" i="1"/>
  <c r="BT130" i="1"/>
  <c r="BU122" i="1"/>
  <c r="BT122" i="1"/>
  <c r="BV122" i="1"/>
  <c r="BV114" i="1"/>
  <c r="BU114" i="1"/>
  <c r="BU106" i="1"/>
  <c r="BT106" i="1"/>
  <c r="BV98" i="1"/>
  <c r="BU98" i="1"/>
  <c r="BT98" i="1"/>
  <c r="BU90" i="1"/>
  <c r="BT90" i="1"/>
  <c r="BV90" i="1"/>
  <c r="BV82" i="1"/>
  <c r="BU82" i="1"/>
  <c r="BT82" i="1"/>
  <c r="BV133" i="1"/>
  <c r="BT133" i="1"/>
  <c r="BU133" i="1"/>
  <c r="BV125" i="1"/>
  <c r="BU125" i="1"/>
  <c r="BT125" i="1"/>
  <c r="BV117" i="1"/>
  <c r="BT117" i="1"/>
  <c r="BU117" i="1"/>
  <c r="BV109" i="1"/>
  <c r="BU109" i="1"/>
  <c r="BT109" i="1"/>
  <c r="BV101" i="1"/>
  <c r="BT101" i="1"/>
  <c r="BU101" i="1"/>
  <c r="BV93" i="1"/>
  <c r="BU93" i="1"/>
  <c r="BT93" i="1"/>
  <c r="BV85" i="1"/>
  <c r="BT85" i="1"/>
  <c r="BV77" i="1"/>
  <c r="BU77" i="1"/>
  <c r="BT77" i="1"/>
  <c r="BM128" i="1"/>
  <c r="BL128" i="1"/>
  <c r="BK128" i="1"/>
  <c r="BM120" i="1"/>
  <c r="BL120" i="1"/>
  <c r="BK120" i="1"/>
  <c r="BM112" i="1"/>
  <c r="BL112" i="1"/>
  <c r="BK112" i="1"/>
  <c r="BM104" i="1"/>
  <c r="BL104" i="1"/>
  <c r="BK104" i="1"/>
  <c r="BM96" i="1"/>
  <c r="BL96" i="1"/>
  <c r="BK96" i="1"/>
  <c r="BK86" i="1"/>
  <c r="BM86" i="1"/>
  <c r="BL86" i="1"/>
  <c r="BK78" i="1"/>
  <c r="BM78" i="1"/>
  <c r="BL78" i="1"/>
  <c r="BM129" i="1"/>
  <c r="BL129" i="1"/>
  <c r="BK129" i="1"/>
  <c r="BM121" i="1"/>
  <c r="BL121" i="1"/>
  <c r="BK121" i="1"/>
  <c r="BM113" i="1"/>
  <c r="BL113" i="1"/>
  <c r="BK113" i="1"/>
  <c r="BM105" i="1"/>
  <c r="EV34" i="1"/>
  <c r="T173" i="1"/>
  <c r="T44" i="7"/>
  <c r="BL105" i="1"/>
  <c r="BK105" i="1"/>
  <c r="BM97" i="1"/>
  <c r="BL97" i="1"/>
  <c r="BK97" i="1"/>
  <c r="BL87" i="1"/>
  <c r="BK87" i="1"/>
  <c r="BM87" i="1"/>
  <c r="BL79" i="1"/>
  <c r="BK79" i="1"/>
  <c r="BC130" i="1"/>
  <c r="BD130" i="1"/>
  <c r="BB130" i="1"/>
  <c r="BC122" i="1"/>
  <c r="BD122" i="1"/>
  <c r="BB122" i="1"/>
  <c r="BC114" i="1"/>
  <c r="BD114" i="1"/>
  <c r="BB114" i="1"/>
  <c r="BC106" i="1"/>
  <c r="BD106" i="1"/>
  <c r="BB106" i="1"/>
  <c r="BC98" i="1"/>
  <c r="BD98" i="1"/>
  <c r="BB98" i="1"/>
  <c r="BC88" i="1"/>
  <c r="BD88" i="1"/>
  <c r="BB88" i="1"/>
  <c r="BC80" i="1"/>
  <c r="BD80" i="1"/>
  <c r="BB80" i="1"/>
  <c r="BD131" i="1"/>
  <c r="BC131" i="1"/>
  <c r="BB131" i="1"/>
  <c r="BD123" i="1"/>
  <c r="BB123" i="1"/>
  <c r="ET52" i="1"/>
  <c r="R191" i="1"/>
  <c r="BC123" i="1"/>
  <c r="BD115" i="1"/>
  <c r="BB115" i="1"/>
  <c r="BC115" i="1"/>
  <c r="BD107" i="1"/>
  <c r="BB107" i="1"/>
  <c r="BC107" i="1"/>
  <c r="BD99" i="1"/>
  <c r="BB99" i="1"/>
  <c r="BC99" i="1"/>
  <c r="BD87" i="1"/>
  <c r="BB87" i="1"/>
  <c r="BC87" i="1"/>
  <c r="BD77" i="1"/>
  <c r="BC77" i="1"/>
  <c r="BB77" i="1"/>
  <c r="AU128" i="1"/>
  <c r="AS128" i="1"/>
  <c r="AU120" i="1"/>
  <c r="AT120" i="1"/>
  <c r="AS120" i="1"/>
  <c r="AU112" i="1"/>
  <c r="AS112" i="1"/>
  <c r="AU104" i="1"/>
  <c r="AT104" i="1"/>
  <c r="AS104" i="1"/>
  <c r="AU96" i="1"/>
  <c r="AS96" i="1"/>
  <c r="AU88" i="1"/>
  <c r="AT88" i="1"/>
  <c r="AS88" i="1"/>
  <c r="AU80" i="1"/>
  <c r="AS80" i="1"/>
  <c r="AT131" i="1"/>
  <c r="AU131" i="1"/>
  <c r="AS131" i="1"/>
  <c r="AT123" i="1"/>
  <c r="AU123" i="1"/>
  <c r="AT115" i="1"/>
  <c r="AU115" i="1"/>
  <c r="AS115" i="1"/>
  <c r="AT107" i="1"/>
  <c r="AU107" i="1"/>
  <c r="AT99" i="1"/>
  <c r="AU99" i="1"/>
  <c r="AS99" i="1"/>
  <c r="AT91" i="1"/>
  <c r="AU91" i="1"/>
  <c r="AT83" i="1"/>
  <c r="AU83" i="1"/>
  <c r="AS83" i="1"/>
  <c r="AT75" i="1"/>
  <c r="AU75" i="1"/>
  <c r="AK126" i="1"/>
  <c r="AL126" i="1"/>
  <c r="AJ126" i="1"/>
  <c r="AK118" i="1"/>
  <c r="AL118" i="1"/>
  <c r="AK110" i="1"/>
  <c r="AL110" i="1"/>
  <c r="AJ110" i="1"/>
  <c r="AK102" i="1"/>
  <c r="AJ102" i="1"/>
  <c r="AK94" i="1"/>
  <c r="AJ94" i="1"/>
  <c r="AK86" i="1"/>
  <c r="AJ86" i="1"/>
  <c r="AK78" i="1"/>
  <c r="AJ78" i="1"/>
  <c r="AL127" i="1"/>
  <c r="AK127" i="1"/>
  <c r="AL119" i="1"/>
  <c r="AK119" i="1"/>
  <c r="AJ119" i="1"/>
  <c r="AL111" i="1"/>
  <c r="AK111" i="1"/>
  <c r="AL103" i="1"/>
  <c r="AK103" i="1"/>
  <c r="AJ103" i="1"/>
  <c r="AL95" i="1"/>
  <c r="AK95" i="1"/>
  <c r="AJ95" i="1"/>
  <c r="AL87" i="1"/>
  <c r="AK87" i="1"/>
  <c r="AJ87" i="1"/>
  <c r="AL79" i="1"/>
  <c r="AK79" i="1"/>
  <c r="AJ79" i="1"/>
  <c r="AC126" i="1"/>
  <c r="AB126" i="1"/>
  <c r="AA126" i="1"/>
  <c r="AC118" i="1"/>
  <c r="AB118" i="1"/>
  <c r="AA118" i="1"/>
  <c r="AC110" i="1"/>
  <c r="AB110" i="1"/>
  <c r="AA110" i="1"/>
  <c r="AC102" i="1"/>
  <c r="AB102" i="1"/>
  <c r="AA102" i="1"/>
  <c r="AC94" i="1"/>
  <c r="AB94" i="1"/>
  <c r="AA94" i="1"/>
  <c r="AC86" i="1"/>
  <c r="AB86" i="1"/>
  <c r="AA86" i="1"/>
  <c r="AC78" i="1"/>
  <c r="AB78" i="1"/>
  <c r="AA78" i="1"/>
  <c r="AC127" i="1"/>
  <c r="AB127" i="1"/>
  <c r="AC119" i="1"/>
  <c r="AB119" i="1"/>
  <c r="AC111" i="1"/>
  <c r="AB111" i="1"/>
  <c r="AC103" i="1"/>
  <c r="AB103" i="1"/>
  <c r="AC95" i="1"/>
  <c r="AB95" i="1"/>
  <c r="AC87" i="1"/>
  <c r="AB87" i="1"/>
  <c r="AC79" i="1"/>
  <c r="AB79" i="1"/>
  <c r="A23" i="8"/>
  <c r="R95" i="1"/>
  <c r="T95" i="1"/>
  <c r="T101" i="1"/>
  <c r="R101" i="1"/>
  <c r="A33" i="8"/>
  <c r="T105" i="1"/>
  <c r="R105" i="1"/>
  <c r="R115" i="1"/>
  <c r="T115" i="1"/>
  <c r="T122" i="1"/>
  <c r="S122" i="1"/>
  <c r="R92" i="1"/>
  <c r="R94" i="1"/>
  <c r="T98" i="1"/>
  <c r="S105" i="1"/>
  <c r="R108" i="1"/>
  <c r="T112" i="1"/>
  <c r="S121" i="1"/>
  <c r="T128" i="1"/>
  <c r="AA87" i="1"/>
  <c r="AA95" i="1"/>
  <c r="AA127" i="1"/>
  <c r="AL98" i="1"/>
  <c r="AK123" i="1"/>
  <c r="AL130" i="1"/>
  <c r="AS100" i="1"/>
  <c r="AS107" i="1"/>
  <c r="AT114" i="1"/>
  <c r="AT128" i="1"/>
  <c r="BD76" i="1"/>
  <c r="BB108" i="1"/>
  <c r="BD118" i="1"/>
  <c r="BK133" i="1"/>
  <c r="CE97" i="1"/>
  <c r="DD108" i="1"/>
  <c r="BB89" i="1"/>
  <c r="BD89" i="1"/>
  <c r="BD91" i="1"/>
  <c r="BB91" i="1"/>
  <c r="R81" i="1"/>
  <c r="R97" i="1"/>
  <c r="R129" i="1"/>
  <c r="AC88" i="1"/>
  <c r="AC96" i="1"/>
  <c r="AC104" i="1"/>
  <c r="AC112" i="1"/>
  <c r="AC120" i="1"/>
  <c r="AC128" i="1"/>
  <c r="AK80" i="1"/>
  <c r="AL81" i="1"/>
  <c r="AK88" i="1"/>
  <c r="AL89" i="1"/>
  <c r="AK96" i="1"/>
  <c r="AL97" i="1"/>
  <c r="AK104" i="1"/>
  <c r="AL105" i="1"/>
  <c r="AK113" i="1"/>
  <c r="AK120" i="1"/>
  <c r="AK129" i="1"/>
  <c r="AT77" i="1"/>
  <c r="AU82" i="1"/>
  <c r="AT93" i="1"/>
  <c r="AT109" i="1"/>
  <c r="AT125" i="1"/>
  <c r="AA129" i="1"/>
  <c r="AJ112" i="1"/>
  <c r="AL113" i="1"/>
  <c r="AJ128" i="1"/>
  <c r="AL129" i="1"/>
  <c r="AS85" i="1"/>
  <c r="AT90" i="1"/>
  <c r="AS101" i="1"/>
  <c r="AS117" i="1"/>
  <c r="AS133" i="1"/>
  <c r="AK121" i="1"/>
  <c r="AU90" i="1"/>
  <c r="BC91" i="1"/>
  <c r="R45" i="6"/>
  <c r="T45" i="6"/>
  <c r="T43" i="6"/>
  <c r="P43" i="7"/>
  <c r="P43" i="6"/>
  <c r="J62" i="7"/>
  <c r="J62" i="6"/>
  <c r="O43" i="6"/>
  <c r="EP62" i="1"/>
  <c r="N201" i="1"/>
  <c r="K44" i="6"/>
  <c r="J43" i="7"/>
  <c r="G191" i="1"/>
  <c r="G62" i="6"/>
  <c r="DS75" i="1"/>
  <c r="DR64" i="1"/>
  <c r="B88" i="1"/>
  <c r="G44" i="7"/>
  <c r="H43" i="6"/>
  <c r="G172" i="1"/>
  <c r="ET33" i="1"/>
  <c r="R172" i="1"/>
  <c r="I172" i="1"/>
  <c r="K43" i="6"/>
  <c r="J166" i="1"/>
  <c r="EP28" i="1"/>
  <c r="F188" i="1"/>
  <c r="ER49" i="1"/>
  <c r="P188" i="1"/>
  <c r="A188" i="1"/>
  <c r="EP49" i="1"/>
  <c r="H45" i="7"/>
  <c r="H45" i="6"/>
  <c r="Q174" i="1"/>
  <c r="EV13" i="1"/>
  <c r="T152" i="1"/>
  <c r="ES13" i="1"/>
  <c r="Q152" i="1"/>
  <c r="L152" i="1"/>
  <c r="I152" i="1"/>
  <c r="ER11" i="1"/>
  <c r="P150" i="1"/>
  <c r="EP11" i="1"/>
  <c r="EU11" i="1"/>
  <c r="S150" i="1"/>
  <c r="J150" i="1"/>
  <c r="EH51" i="1"/>
  <c r="L190" i="1"/>
  <c r="DJ126" i="1"/>
  <c r="DA121" i="1"/>
  <c r="DA89" i="1"/>
  <c r="EH17" i="1"/>
  <c r="F156" i="1"/>
  <c r="EH12" i="1"/>
  <c r="L151" i="1"/>
  <c r="AP84" i="1"/>
  <c r="AG119" i="1"/>
  <c r="AG87" i="1"/>
  <c r="AG126" i="1"/>
  <c r="EH40" i="1"/>
  <c r="ET40" i="1"/>
  <c r="R179" i="1"/>
  <c r="AG106" i="1"/>
  <c r="AG98" i="1"/>
  <c r="F120" i="1"/>
  <c r="F80" i="1"/>
  <c r="EH8" i="1"/>
  <c r="J147" i="1"/>
  <c r="L45" i="6"/>
  <c r="EV47" i="1"/>
  <c r="T186" i="1"/>
  <c r="ER47" i="1"/>
  <c r="P186" i="1"/>
  <c r="ET43" i="1"/>
  <c r="R182" i="1"/>
  <c r="EU43" i="1"/>
  <c r="S182" i="1"/>
  <c r="J182" i="1"/>
  <c r="G182" i="1"/>
  <c r="H182" i="1"/>
  <c r="EH31" i="1"/>
  <c r="I170" i="1"/>
  <c r="CI103" i="1"/>
  <c r="CI79" i="1"/>
  <c r="EH44" i="1"/>
  <c r="EH39" i="1"/>
  <c r="K178" i="1"/>
  <c r="EH41" i="1"/>
  <c r="F180" i="1"/>
  <c r="AY99" i="1"/>
  <c r="EH23" i="1"/>
  <c r="K162" i="1"/>
  <c r="AY95" i="1"/>
  <c r="AY82" i="1"/>
  <c r="AP88" i="1"/>
  <c r="L172" i="1"/>
  <c r="EB84" i="1"/>
  <c r="EB75" i="1"/>
  <c r="EA64" i="1"/>
  <c r="A152" i="1"/>
  <c r="A150" i="1"/>
  <c r="A14" i="8"/>
  <c r="A22" i="8"/>
  <c r="A30" i="8"/>
  <c r="A38" i="8"/>
  <c r="A46" i="8"/>
  <c r="A54" i="8"/>
  <c r="F96" i="1"/>
  <c r="A12" i="8"/>
  <c r="A20" i="8"/>
  <c r="A28" i="8"/>
  <c r="A36" i="8"/>
  <c r="A44" i="8"/>
  <c r="A52" i="8"/>
  <c r="EH53" i="1"/>
  <c r="A60" i="8"/>
  <c r="EH61" i="1"/>
  <c r="EU18" i="1"/>
  <c r="S157" i="1"/>
  <c r="EH20" i="1"/>
  <c r="AY92" i="1"/>
  <c r="O127" i="1"/>
  <c r="O119" i="1"/>
  <c r="O111" i="1"/>
  <c r="O103" i="1"/>
  <c r="O95" i="1"/>
  <c r="O87" i="1"/>
  <c r="L186" i="1"/>
  <c r="F78" i="1"/>
  <c r="EH9" i="1"/>
  <c r="F148" i="1"/>
  <c r="EH45" i="1"/>
  <c r="G184" i="1"/>
  <c r="AY90" i="1"/>
  <c r="L178" i="1"/>
  <c r="G190" i="1"/>
  <c r="A191" i="1"/>
  <c r="EP52" i="1"/>
  <c r="ER52" i="1"/>
  <c r="P191" i="1"/>
  <c r="L191" i="1"/>
  <c r="I191" i="1"/>
  <c r="F191" i="1"/>
  <c r="EU52" i="1"/>
  <c r="S191" i="1"/>
  <c r="EH59" i="1"/>
  <c r="J198" i="1"/>
  <c r="EH25" i="1"/>
  <c r="EH57" i="1"/>
  <c r="EH50" i="1"/>
  <c r="EH30" i="1"/>
  <c r="ET32" i="1"/>
  <c r="EU34" i="1"/>
  <c r="S173" i="1"/>
  <c r="S44" i="6"/>
  <c r="A10" i="8"/>
  <c r="A18" i="8"/>
  <c r="A26" i="8"/>
  <c r="A34" i="8"/>
  <c r="A42" i="8"/>
  <c r="A50" i="8"/>
  <c r="A58" i="8"/>
  <c r="A8" i="8"/>
  <c r="A16" i="8"/>
  <c r="A24" i="8"/>
  <c r="A32" i="8"/>
  <c r="A40" i="8"/>
  <c r="A48" i="8"/>
  <c r="A56" i="8"/>
  <c r="EG63" i="1"/>
  <c r="S45" i="6"/>
  <c r="EU22" i="1"/>
  <c r="S161" i="1"/>
  <c r="L161" i="1"/>
  <c r="A185" i="1"/>
  <c r="I185" i="1"/>
  <c r="I56" i="7"/>
  <c r="G185" i="1"/>
  <c r="ER46" i="1"/>
  <c r="P185" i="1"/>
  <c r="F185" i="1"/>
  <c r="F56" i="6"/>
  <c r="K185" i="1"/>
  <c r="K56" i="7"/>
  <c r="L185" i="1"/>
  <c r="EP46" i="1"/>
  <c r="ET46" i="1"/>
  <c r="R185" i="1"/>
  <c r="R56" i="7"/>
  <c r="J185" i="1"/>
  <c r="J56" i="7"/>
  <c r="ET16" i="1"/>
  <c r="R155" i="1"/>
  <c r="EU46" i="1"/>
  <c r="S185" i="1"/>
  <c r="H186" i="1"/>
  <c r="L179" i="1"/>
  <c r="L50" i="7"/>
  <c r="F186" i="1"/>
  <c r="I186" i="1"/>
  <c r="F167" i="1"/>
  <c r="J167" i="1"/>
  <c r="J38" i="6"/>
  <c r="EV27" i="1"/>
  <c r="T166" i="1"/>
  <c r="EH14" i="1"/>
  <c r="N44" i="7"/>
  <c r="R113" i="1"/>
  <c r="T117" i="1"/>
  <c r="ET22" i="1"/>
  <c r="T85" i="1"/>
  <c r="J180" i="1"/>
  <c r="J51" i="7"/>
  <c r="J186" i="1"/>
  <c r="EQ47" i="1"/>
  <c r="O186" i="1"/>
  <c r="I167" i="1"/>
  <c r="K57" i="6"/>
  <c r="ET28" i="1"/>
  <c r="R167" i="1"/>
  <c r="K167" i="1"/>
  <c r="EU47" i="1"/>
  <c r="S186" i="1"/>
  <c r="S57" i="7"/>
  <c r="T87" i="1"/>
  <c r="EV22" i="1"/>
  <c r="T161" i="1"/>
  <c r="K63" i="1"/>
  <c r="I63" i="1"/>
  <c r="N43" i="7"/>
  <c r="EW35" i="1"/>
  <c r="EU38" i="1"/>
  <c r="S177" i="1"/>
  <c r="S48" i="7"/>
  <c r="I177" i="1"/>
  <c r="I48" i="7"/>
  <c r="EV16" i="1"/>
  <c r="T155" i="1"/>
  <c r="T26" i="7"/>
  <c r="EV42" i="1"/>
  <c r="T181" i="1"/>
  <c r="T52" i="7"/>
  <c r="EU62" i="1"/>
  <c r="S201" i="1"/>
  <c r="EV43" i="1"/>
  <c r="T182" i="1"/>
  <c r="T53" i="7"/>
  <c r="EQ43" i="1"/>
  <c r="F170" i="1"/>
  <c r="F41" i="7"/>
  <c r="EQ13" i="1"/>
  <c r="O152" i="1"/>
  <c r="ER13" i="1"/>
  <c r="P152" i="1"/>
  <c r="P23" i="6"/>
  <c r="I155" i="1"/>
  <c r="I26" i="6"/>
  <c r="H201" i="1"/>
  <c r="H72" i="7"/>
  <c r="K182" i="1"/>
  <c r="F182" i="1"/>
  <c r="F53" i="7"/>
  <c r="T133" i="1"/>
  <c r="R107" i="1"/>
  <c r="G152" i="1"/>
  <c r="S79" i="1"/>
  <c r="J155" i="1"/>
  <c r="J26" i="6"/>
  <c r="F152" i="1"/>
  <c r="F23" i="7"/>
  <c r="EP13" i="1"/>
  <c r="EV62" i="1"/>
  <c r="T201" i="1"/>
  <c r="T72" i="7"/>
  <c r="K201" i="1"/>
  <c r="K72" i="7"/>
  <c r="ET62" i="1"/>
  <c r="R201" i="1"/>
  <c r="J201" i="1"/>
  <c r="J72" i="7"/>
  <c r="CR75" i="1"/>
  <c r="CQ64" i="1"/>
  <c r="B85" i="1"/>
  <c r="T79" i="1"/>
  <c r="EH36" i="1"/>
  <c r="BZ75" i="1"/>
  <c r="BY64" i="1"/>
  <c r="B83" i="1"/>
  <c r="H23" i="6"/>
  <c r="O80" i="1"/>
  <c r="A59" i="8"/>
  <c r="O132" i="1"/>
  <c r="A47" i="8"/>
  <c r="S119" i="1"/>
  <c r="R119" i="1"/>
  <c r="O120" i="1"/>
  <c r="R125" i="1"/>
  <c r="T125" i="1"/>
  <c r="S125" i="1"/>
  <c r="A53" i="8"/>
  <c r="O126" i="1"/>
  <c r="A31" i="8"/>
  <c r="O104" i="1"/>
  <c r="S103" i="1"/>
  <c r="R103" i="1"/>
  <c r="H157" i="1"/>
  <c r="H28" i="6"/>
  <c r="EU14" i="1"/>
  <c r="S153" i="1"/>
  <c r="EH60" i="1"/>
  <c r="DJ75" i="1"/>
  <c r="DI64" i="1"/>
  <c r="B87" i="1"/>
  <c r="L153" i="1"/>
  <c r="L24" i="7"/>
  <c r="T119" i="1"/>
  <c r="R131" i="1"/>
  <c r="EU32" i="1"/>
  <c r="S171" i="1"/>
  <c r="S42" i="7"/>
  <c r="EV46" i="1"/>
  <c r="T185" i="1"/>
  <c r="T56" i="6"/>
  <c r="EV18" i="1"/>
  <c r="T157" i="1"/>
  <c r="BH75" i="1"/>
  <c r="BG64" i="1"/>
  <c r="B81" i="1"/>
  <c r="EH54" i="1"/>
  <c r="H193" i="1"/>
  <c r="O128" i="1"/>
  <c r="S127" i="1"/>
  <c r="S101" i="1"/>
  <c r="O102" i="1"/>
  <c r="A29" i="8"/>
  <c r="S111" i="1"/>
  <c r="O112" i="1"/>
  <c r="L175" i="1"/>
  <c r="L46" i="6"/>
  <c r="F153" i="1"/>
  <c r="F24" i="6"/>
  <c r="EP14" i="1"/>
  <c r="EH48" i="1"/>
  <c r="L187" i="1"/>
  <c r="ET38" i="1"/>
  <c r="R177" i="1"/>
  <c r="R48" i="6"/>
  <c r="A41" i="8"/>
  <c r="O114" i="1"/>
  <c r="T113" i="1"/>
  <c r="S113" i="1"/>
  <c r="R77" i="1"/>
  <c r="T77" i="1"/>
  <c r="S77" i="1"/>
  <c r="A5" i="8"/>
  <c r="O78" i="1"/>
  <c r="A15" i="8"/>
  <c r="R87" i="1"/>
  <c r="O88" i="1"/>
  <c r="S87" i="1"/>
  <c r="R93" i="1"/>
  <c r="S93" i="1"/>
  <c r="O94" i="1"/>
  <c r="T93" i="1"/>
  <c r="A21" i="8"/>
  <c r="A45" i="8"/>
  <c r="O118" i="1"/>
  <c r="S117" i="1"/>
  <c r="O86" i="1"/>
  <c r="S85" i="1"/>
  <c r="H153" i="1"/>
  <c r="H24" i="6"/>
  <c r="A153" i="1"/>
  <c r="A24" i="7"/>
  <c r="DA75" i="1"/>
  <c r="CZ64" i="1"/>
  <c r="B86" i="1"/>
  <c r="T103" i="1"/>
  <c r="S131" i="1"/>
  <c r="DF63" i="1"/>
  <c r="DD63" i="1"/>
  <c r="R109" i="1"/>
  <c r="A37" i="8"/>
  <c r="T109" i="1"/>
  <c r="O110" i="1"/>
  <c r="S109" i="1"/>
  <c r="O134" i="1"/>
  <c r="A61" i="8"/>
  <c r="O108" i="1"/>
  <c r="S107" i="1"/>
  <c r="O44" i="7"/>
  <c r="O44" i="6"/>
  <c r="S43" i="6"/>
  <c r="ET4" i="1"/>
  <c r="R143" i="1"/>
  <c r="R14" i="7"/>
  <c r="J23" i="6"/>
  <c r="J23" i="7"/>
  <c r="F43" i="6"/>
  <c r="F43" i="7"/>
  <c r="L21" i="6"/>
  <c r="L21" i="7"/>
  <c r="I53" i="7"/>
  <c r="I53" i="6"/>
  <c r="I160" i="1"/>
  <c r="EV21" i="1"/>
  <c r="T160" i="1"/>
  <c r="ET21" i="1"/>
  <c r="R160" i="1"/>
  <c r="H160" i="1"/>
  <c r="ES21" i="1"/>
  <c r="Q160" i="1"/>
  <c r="L160" i="1"/>
  <c r="ER21" i="1"/>
  <c r="P160" i="1"/>
  <c r="EP21" i="1"/>
  <c r="N160" i="1"/>
  <c r="EQ21" i="1"/>
  <c r="O160" i="1"/>
  <c r="F160" i="1"/>
  <c r="A160" i="1"/>
  <c r="J160" i="1"/>
  <c r="K160" i="1"/>
  <c r="K146" i="1"/>
  <c r="ET7" i="1"/>
  <c r="R146" i="1"/>
  <c r="L146" i="1"/>
  <c r="I146" i="1"/>
  <c r="EU7" i="1"/>
  <c r="S146" i="1"/>
  <c r="H146" i="1"/>
  <c r="J146" i="1"/>
  <c r="G146" i="1"/>
  <c r="EQ7" i="1"/>
  <c r="O146" i="1"/>
  <c r="EV7" i="1"/>
  <c r="T146" i="1"/>
  <c r="ES7" i="1"/>
  <c r="Q146" i="1"/>
  <c r="EP7" i="1"/>
  <c r="ER7" i="1"/>
  <c r="P146" i="1"/>
  <c r="A146" i="1"/>
  <c r="F146" i="1"/>
  <c r="K181" i="1"/>
  <c r="ER42" i="1"/>
  <c r="P181" i="1"/>
  <c r="G181" i="1"/>
  <c r="H181" i="1"/>
  <c r="EQ42" i="1"/>
  <c r="O181" i="1"/>
  <c r="EP42" i="1"/>
  <c r="N181" i="1"/>
  <c r="F181" i="1"/>
  <c r="ES42" i="1"/>
  <c r="Q181" i="1"/>
  <c r="L181" i="1"/>
  <c r="A181" i="1"/>
  <c r="J181" i="1"/>
  <c r="I181" i="1"/>
  <c r="F44" i="6"/>
  <c r="F44" i="7"/>
  <c r="ER16" i="1"/>
  <c r="P155" i="1"/>
  <c r="P26" i="7"/>
  <c r="K155" i="1"/>
  <c r="EQ16" i="1"/>
  <c r="O155" i="1"/>
  <c r="G155" i="1"/>
  <c r="EP16" i="1"/>
  <c r="N155" i="1"/>
  <c r="F155" i="1"/>
  <c r="A43" i="7"/>
  <c r="E43" i="7"/>
  <c r="A43" i="6"/>
  <c r="EP18" i="1"/>
  <c r="N157" i="1"/>
  <c r="ES18" i="1"/>
  <c r="Q157" i="1"/>
  <c r="ER18" i="1"/>
  <c r="P157" i="1"/>
  <c r="I157" i="1"/>
  <c r="A157" i="1"/>
  <c r="G157" i="1"/>
  <c r="EQ18" i="1"/>
  <c r="O157" i="1"/>
  <c r="F157" i="1"/>
  <c r="K157" i="1"/>
  <c r="EP26" i="1"/>
  <c r="N165" i="1"/>
  <c r="N36" i="6"/>
  <c r="F165" i="1"/>
  <c r="K165" i="1"/>
  <c r="EQ26" i="1"/>
  <c r="O165" i="1"/>
  <c r="A165" i="1"/>
  <c r="L165" i="1"/>
  <c r="ES26" i="1"/>
  <c r="Q165" i="1"/>
  <c r="J165" i="1"/>
  <c r="I165" i="1"/>
  <c r="ER26" i="1"/>
  <c r="P165" i="1"/>
  <c r="H165" i="1"/>
  <c r="G165" i="1"/>
  <c r="J197" i="1"/>
  <c r="EQ58" i="1"/>
  <c r="O197" i="1"/>
  <c r="G197" i="1"/>
  <c r="EP58" i="1"/>
  <c r="N197" i="1"/>
  <c r="I197" i="1"/>
  <c r="ER58" i="1"/>
  <c r="P197" i="1"/>
  <c r="ES58" i="1"/>
  <c r="Q197" i="1"/>
  <c r="H197" i="1"/>
  <c r="K197" i="1"/>
  <c r="L197" i="1"/>
  <c r="A197" i="1"/>
  <c r="F197" i="1"/>
  <c r="ES36" i="1"/>
  <c r="Q175" i="1"/>
  <c r="EQ38" i="1"/>
  <c r="O177" i="1"/>
  <c r="F177" i="1"/>
  <c r="ES38" i="1"/>
  <c r="Q177" i="1"/>
  <c r="G177" i="1"/>
  <c r="L177" i="1"/>
  <c r="ER38" i="1"/>
  <c r="P177" i="1"/>
  <c r="J177" i="1"/>
  <c r="K177" i="1"/>
  <c r="H177" i="1"/>
  <c r="A177" i="1"/>
  <c r="EV11" i="1"/>
  <c r="T150" i="1"/>
  <c r="ET11" i="1"/>
  <c r="R150" i="1"/>
  <c r="ES11" i="1"/>
  <c r="Q150" i="1"/>
  <c r="F150" i="1"/>
  <c r="EP32" i="1"/>
  <c r="N171" i="1"/>
  <c r="N42" i="7"/>
  <c r="G171" i="1"/>
  <c r="F171" i="1"/>
  <c r="K171" i="1"/>
  <c r="A171" i="1"/>
  <c r="J171" i="1"/>
  <c r="EQ32" i="1"/>
  <c r="O171" i="1"/>
  <c r="L171" i="1"/>
  <c r="ER32" i="1"/>
  <c r="P171" i="1"/>
  <c r="I171" i="1"/>
  <c r="H171" i="1"/>
  <c r="ES32" i="1"/>
  <c r="Q171" i="1"/>
  <c r="EU16" i="1"/>
  <c r="S155" i="1"/>
  <c r="S26" i="6"/>
  <c r="EU4" i="1"/>
  <c r="S143" i="1"/>
  <c r="S14" i="6"/>
  <c r="ET58" i="1"/>
  <c r="R197" i="1"/>
  <c r="R68" i="7"/>
  <c r="EU42" i="1"/>
  <c r="S181" i="1"/>
  <c r="S52" i="7"/>
  <c r="EV38" i="1"/>
  <c r="T177" i="1"/>
  <c r="T48" i="7"/>
  <c r="EV58" i="1"/>
  <c r="T197" i="1"/>
  <c r="T68" i="7"/>
  <c r="L155" i="1"/>
  <c r="L26" i="7"/>
  <c r="EQ11" i="1"/>
  <c r="O150" i="1"/>
  <c r="O21" i="6"/>
  <c r="EX35" i="1"/>
  <c r="E174" i="1"/>
  <c r="H155" i="1"/>
  <c r="H26" i="6"/>
  <c r="EP38" i="1"/>
  <c r="EU21" i="1"/>
  <c r="S160" i="1"/>
  <c r="J72" i="6"/>
  <c r="G62" i="7"/>
  <c r="P44" i="6"/>
  <c r="ET18" i="1"/>
  <c r="R157" i="1"/>
  <c r="R28" i="6"/>
  <c r="K45" i="6"/>
  <c r="H150" i="1"/>
  <c r="F45" i="7"/>
  <c r="F45" i="6"/>
  <c r="K152" i="1"/>
  <c r="P45" i="7"/>
  <c r="P45" i="6"/>
  <c r="N45" i="7"/>
  <c r="N45" i="6"/>
  <c r="L44" i="7"/>
  <c r="L44" i="6"/>
  <c r="H176" i="1"/>
  <c r="EV37" i="1"/>
  <c r="T176" i="1"/>
  <c r="G176" i="1"/>
  <c r="EQ37" i="1"/>
  <c r="O176" i="1"/>
  <c r="J176" i="1"/>
  <c r="ER37" i="1"/>
  <c r="P176" i="1"/>
  <c r="ET37" i="1"/>
  <c r="R176" i="1"/>
  <c r="F176" i="1"/>
  <c r="L176" i="1"/>
  <c r="ES37" i="1"/>
  <c r="Q176" i="1"/>
  <c r="EP37" i="1"/>
  <c r="EU37" i="1"/>
  <c r="S176" i="1"/>
  <c r="S47" i="6"/>
  <c r="I176" i="1"/>
  <c r="A176" i="1"/>
  <c r="K176" i="1"/>
  <c r="J44" i="7"/>
  <c r="J44" i="6"/>
  <c r="EQ4" i="1"/>
  <c r="O143" i="1"/>
  <c r="ES4" i="1"/>
  <c r="Q143" i="1"/>
  <c r="L143" i="1"/>
  <c r="A143" i="1"/>
  <c r="ER4" i="1"/>
  <c r="P143" i="1"/>
  <c r="I143" i="1"/>
  <c r="J143" i="1"/>
  <c r="H143" i="1"/>
  <c r="K143" i="1"/>
  <c r="G143" i="1"/>
  <c r="F143" i="1"/>
  <c r="EP4" i="1"/>
  <c r="N143" i="1"/>
  <c r="X75" i="1"/>
  <c r="W64" i="1"/>
  <c r="B77" i="1"/>
  <c r="EQ52" i="1"/>
  <c r="O191" i="1"/>
  <c r="H191" i="1"/>
  <c r="ES52" i="1"/>
  <c r="Q191" i="1"/>
  <c r="G45" i="7"/>
  <c r="G45" i="6"/>
  <c r="Q43" i="7"/>
  <c r="Q43" i="6"/>
  <c r="G21" i="6"/>
  <c r="G21" i="7"/>
  <c r="F72" i="7"/>
  <c r="F72" i="6"/>
  <c r="G23" i="7"/>
  <c r="G23" i="6"/>
  <c r="EQ46" i="1"/>
  <c r="O185" i="1"/>
  <c r="ES46" i="1"/>
  <c r="Q185" i="1"/>
  <c r="H185" i="1"/>
  <c r="I150" i="1"/>
  <c r="J45" i="7"/>
  <c r="J45" i="6"/>
  <c r="A44" i="6"/>
  <c r="A44" i="7"/>
  <c r="H154" i="1"/>
  <c r="ER15" i="1"/>
  <c r="P154" i="1"/>
  <c r="EQ15" i="1"/>
  <c r="O154" i="1"/>
  <c r="G154" i="1"/>
  <c r="J154" i="1"/>
  <c r="ES15" i="1"/>
  <c r="Q154" i="1"/>
  <c r="EV15" i="1"/>
  <c r="T154" i="1"/>
  <c r="A154" i="1"/>
  <c r="EP15" i="1"/>
  <c r="K154" i="1"/>
  <c r="F154" i="1"/>
  <c r="I154" i="1"/>
  <c r="EU15" i="1"/>
  <c r="S154" i="1"/>
  <c r="L154" i="1"/>
  <c r="ET15" i="1"/>
  <c r="R154" i="1"/>
  <c r="G158" i="1"/>
  <c r="ES19" i="1"/>
  <c r="Q158" i="1"/>
  <c r="ET19" i="1"/>
  <c r="R158" i="1"/>
  <c r="J158" i="1"/>
  <c r="K158" i="1"/>
  <c r="I158" i="1"/>
  <c r="ER19" i="1"/>
  <c r="P158" i="1"/>
  <c r="A158" i="1"/>
  <c r="L158" i="1"/>
  <c r="EP19" i="1"/>
  <c r="EQ19" i="1"/>
  <c r="O158" i="1"/>
  <c r="F158" i="1"/>
  <c r="EU19" i="1"/>
  <c r="S158" i="1"/>
  <c r="H158" i="1"/>
  <c r="EV19" i="1"/>
  <c r="T158" i="1"/>
  <c r="G166" i="1"/>
  <c r="A166" i="1"/>
  <c r="ER27" i="1"/>
  <c r="P166" i="1"/>
  <c r="EP27" i="1"/>
  <c r="N166" i="1"/>
  <c r="EU27" i="1"/>
  <c r="S166" i="1"/>
  <c r="L166" i="1"/>
  <c r="K166" i="1"/>
  <c r="EQ27" i="1"/>
  <c r="O166" i="1"/>
  <c r="F166" i="1"/>
  <c r="H166" i="1"/>
  <c r="I166" i="1"/>
  <c r="ES27" i="1"/>
  <c r="Q166" i="1"/>
  <c r="K195" i="1"/>
  <c r="F195" i="1"/>
  <c r="ES56" i="1"/>
  <c r="Q195" i="1"/>
  <c r="J195" i="1"/>
  <c r="G195" i="1"/>
  <c r="EP56" i="1"/>
  <c r="N195" i="1"/>
  <c r="H195" i="1"/>
  <c r="ER56" i="1"/>
  <c r="P195" i="1"/>
  <c r="L195" i="1"/>
  <c r="EQ56" i="1"/>
  <c r="O195" i="1"/>
  <c r="I195" i="1"/>
  <c r="A195" i="1"/>
  <c r="ES5" i="1"/>
  <c r="Q144" i="1"/>
  <c r="EU5" i="1"/>
  <c r="S144" i="1"/>
  <c r="A144" i="1"/>
  <c r="G144" i="1"/>
  <c r="EQ5" i="1"/>
  <c r="O144" i="1"/>
  <c r="ER5" i="1"/>
  <c r="P144" i="1"/>
  <c r="H144" i="1"/>
  <c r="F144" i="1"/>
  <c r="EP5" i="1"/>
  <c r="ET5" i="1"/>
  <c r="R144" i="1"/>
  <c r="L144" i="1"/>
  <c r="EV5" i="1"/>
  <c r="T144" i="1"/>
  <c r="K144" i="1"/>
  <c r="I144" i="1"/>
  <c r="J144" i="1"/>
  <c r="I168" i="1"/>
  <c r="EQ29" i="1"/>
  <c r="O168" i="1"/>
  <c r="F168" i="1"/>
  <c r="ET29" i="1"/>
  <c r="R168" i="1"/>
  <c r="G168" i="1"/>
  <c r="EV29" i="1"/>
  <c r="T168" i="1"/>
  <c r="ES29" i="1"/>
  <c r="Q168" i="1"/>
  <c r="L168" i="1"/>
  <c r="A168" i="1"/>
  <c r="ER29" i="1"/>
  <c r="P168" i="1"/>
  <c r="EP29" i="1"/>
  <c r="H168" i="1"/>
  <c r="K168" i="1"/>
  <c r="EU29" i="1"/>
  <c r="S168" i="1"/>
  <c r="J168" i="1"/>
  <c r="J184" i="1"/>
  <c r="J55" i="7"/>
  <c r="ES16" i="1"/>
  <c r="Q155" i="1"/>
  <c r="Q26" i="6"/>
  <c r="G160" i="1"/>
  <c r="G31" i="6"/>
  <c r="J157" i="1"/>
  <c r="J28" i="7"/>
  <c r="K62" i="7"/>
  <c r="K62" i="6"/>
  <c r="I45" i="7"/>
  <c r="I45" i="6"/>
  <c r="K150" i="1"/>
  <c r="L53" i="7"/>
  <c r="L53" i="6"/>
  <c r="ET13" i="1"/>
  <c r="R152" i="1"/>
  <c r="EU13" i="1"/>
  <c r="S152" i="1"/>
  <c r="F194" i="1"/>
  <c r="J194" i="1"/>
  <c r="ER55" i="1"/>
  <c r="P194" i="1"/>
  <c r="P65" i="7"/>
  <c r="G194" i="1"/>
  <c r="EQ55" i="1"/>
  <c r="O194" i="1"/>
  <c r="ES55" i="1"/>
  <c r="Q194" i="1"/>
  <c r="A194" i="1"/>
  <c r="EU55" i="1"/>
  <c r="S194" i="1"/>
  <c r="H194" i="1"/>
  <c r="ET55" i="1"/>
  <c r="R194" i="1"/>
  <c r="I194" i="1"/>
  <c r="L194" i="1"/>
  <c r="K194" i="1"/>
  <c r="EP55" i="1"/>
  <c r="EV55" i="1"/>
  <c r="T194" i="1"/>
  <c r="Q44" i="7"/>
  <c r="Q44" i="6"/>
  <c r="I44" i="7"/>
  <c r="I44" i="6"/>
  <c r="A149" i="1"/>
  <c r="I149" i="1"/>
  <c r="H149" i="1"/>
  <c r="ER10" i="1"/>
  <c r="P149" i="1"/>
  <c r="G149" i="1"/>
  <c r="ES10" i="1"/>
  <c r="Q149" i="1"/>
  <c r="EP10" i="1"/>
  <c r="N149" i="1"/>
  <c r="F149" i="1"/>
  <c r="K149" i="1"/>
  <c r="L149" i="1"/>
  <c r="EQ10" i="1"/>
  <c r="O149" i="1"/>
  <c r="J149" i="1"/>
  <c r="A186" i="1"/>
  <c r="ET47" i="1"/>
  <c r="R186" i="1"/>
  <c r="G186" i="1"/>
  <c r="ES47" i="1"/>
  <c r="Q186" i="1"/>
  <c r="BQ75" i="1"/>
  <c r="BP64" i="1"/>
  <c r="B82" i="1"/>
  <c r="ER28" i="1"/>
  <c r="P167" i="1"/>
  <c r="A167" i="1"/>
  <c r="G167" i="1"/>
  <c r="EQ28" i="1"/>
  <c r="O167" i="1"/>
  <c r="H167" i="1"/>
  <c r="L167" i="1"/>
  <c r="J188" i="1"/>
  <c r="ES49" i="1"/>
  <c r="Q188" i="1"/>
  <c r="K188" i="1"/>
  <c r="I188" i="1"/>
  <c r="G188" i="1"/>
  <c r="L188" i="1"/>
  <c r="ET49" i="1"/>
  <c r="R188" i="1"/>
  <c r="H188" i="1"/>
  <c r="EQ49" i="1"/>
  <c r="O188" i="1"/>
  <c r="EV49" i="1"/>
  <c r="T188" i="1"/>
  <c r="EU49" i="1"/>
  <c r="S188" i="1"/>
  <c r="H161" i="1"/>
  <c r="EP22" i="1"/>
  <c r="N161" i="1"/>
  <c r="A161" i="1"/>
  <c r="K161" i="1"/>
  <c r="F161" i="1"/>
  <c r="EQ22" i="1"/>
  <c r="O161" i="1"/>
  <c r="I161" i="1"/>
  <c r="J161" i="1"/>
  <c r="ES22" i="1"/>
  <c r="Q161" i="1"/>
  <c r="G161" i="1"/>
  <c r="ER22" i="1"/>
  <c r="P161" i="1"/>
  <c r="A201" i="1"/>
  <c r="ER62" i="1"/>
  <c r="P201" i="1"/>
  <c r="P72" i="7"/>
  <c r="ES62" i="1"/>
  <c r="Q201" i="1"/>
  <c r="I201" i="1"/>
  <c r="L201" i="1"/>
  <c r="G201" i="1"/>
  <c r="EQ62" i="1"/>
  <c r="O201" i="1"/>
  <c r="A182" i="1"/>
  <c r="ES43" i="1"/>
  <c r="Q182" i="1"/>
  <c r="ER43" i="1"/>
  <c r="P182" i="1"/>
  <c r="EP43" i="1"/>
  <c r="N182" i="1"/>
  <c r="EP24" i="1"/>
  <c r="N163" i="1"/>
  <c r="N34" i="7"/>
  <c r="I163" i="1"/>
  <c r="J163" i="1"/>
  <c r="EQ24" i="1"/>
  <c r="O163" i="1"/>
  <c r="O34" i="7"/>
  <c r="A163" i="1"/>
  <c r="G163" i="1"/>
  <c r="ES24" i="1"/>
  <c r="Q163" i="1"/>
  <c r="H163" i="1"/>
  <c r="K163" i="1"/>
  <c r="L163" i="1"/>
  <c r="ER24" i="1"/>
  <c r="P163" i="1"/>
  <c r="F163" i="1"/>
  <c r="O45" i="7"/>
  <c r="O45" i="6"/>
  <c r="A45" i="7"/>
  <c r="E45" i="7"/>
  <c r="A45" i="6"/>
  <c r="T44" i="6"/>
  <c r="N72" i="7"/>
  <c r="N72" i="6"/>
  <c r="R161" i="1"/>
  <c r="S28" i="6"/>
  <c r="S28" i="7"/>
  <c r="R195" i="1"/>
  <c r="S56" i="7"/>
  <c r="S56" i="6"/>
  <c r="T62" i="7"/>
  <c r="T62" i="6"/>
  <c r="S72" i="6"/>
  <c r="S72" i="7"/>
  <c r="T32" i="7"/>
  <c r="T32" i="6"/>
  <c r="R38" i="6"/>
  <c r="R38" i="7"/>
  <c r="R62" i="7"/>
  <c r="R62" i="6"/>
  <c r="EU28" i="1"/>
  <c r="S167" i="1"/>
  <c r="S66" i="7"/>
  <c r="S66" i="6"/>
  <c r="R181" i="1"/>
  <c r="BL63" i="1"/>
  <c r="EU24" i="1"/>
  <c r="S163" i="1"/>
  <c r="EV10" i="1"/>
  <c r="T149" i="1"/>
  <c r="ET26" i="1"/>
  <c r="ET34" i="1"/>
  <c r="L32" i="6"/>
  <c r="L32" i="7"/>
  <c r="R171" i="1"/>
  <c r="EV56" i="1"/>
  <c r="T195" i="1"/>
  <c r="BT63" i="1"/>
  <c r="R26" i="6"/>
  <c r="R26" i="7"/>
  <c r="DW63" i="1"/>
  <c r="S48" i="6"/>
  <c r="ET24" i="1"/>
  <c r="EU10" i="1"/>
  <c r="S149" i="1"/>
  <c r="EV26" i="1"/>
  <c r="T165" i="1"/>
  <c r="T38" i="6"/>
  <c r="S44" i="7"/>
  <c r="EV32" i="1"/>
  <c r="T171" i="1"/>
  <c r="O34" i="6"/>
  <c r="S32" i="7"/>
  <c r="S32" i="6"/>
  <c r="AB63" i="1"/>
  <c r="BD63" i="1"/>
  <c r="EV4" i="1"/>
  <c r="T143" i="1"/>
  <c r="EV24" i="1"/>
  <c r="T163" i="1"/>
  <c r="ET10" i="1"/>
  <c r="CV63" i="1"/>
  <c r="EU26" i="1"/>
  <c r="S165" i="1"/>
  <c r="G153" i="1"/>
  <c r="ET14" i="1"/>
  <c r="R153" i="1"/>
  <c r="EV14" i="1"/>
  <c r="T153" i="1"/>
  <c r="EQ14" i="1"/>
  <c r="O153" i="1"/>
  <c r="I153" i="1"/>
  <c r="ES14" i="1"/>
  <c r="Q153" i="1"/>
  <c r="G56" i="6"/>
  <c r="G56" i="7"/>
  <c r="EU58" i="1"/>
  <c r="S197" i="1"/>
  <c r="ET36" i="1"/>
  <c r="R175" i="1"/>
  <c r="J18" i="7"/>
  <c r="J18" i="6"/>
  <c r="F27" i="7"/>
  <c r="F27" i="6"/>
  <c r="J69" i="7"/>
  <c r="J69" i="6"/>
  <c r="F19" i="6"/>
  <c r="F19" i="7"/>
  <c r="G55" i="7"/>
  <c r="G55" i="6"/>
  <c r="K49" i="7"/>
  <c r="K49" i="6"/>
  <c r="AU63" i="1"/>
  <c r="DE63" i="1"/>
  <c r="BM63" i="1"/>
  <c r="CD63" i="1"/>
  <c r="ER30" i="1"/>
  <c r="P169" i="1"/>
  <c r="ET30" i="1"/>
  <c r="R169" i="1"/>
  <c r="EU30" i="1"/>
  <c r="S169" i="1"/>
  <c r="EP30" i="1"/>
  <c r="N169" i="1"/>
  <c r="I169" i="1"/>
  <c r="G169" i="1"/>
  <c r="EQ30" i="1"/>
  <c r="O169" i="1"/>
  <c r="K169" i="1"/>
  <c r="H169" i="1"/>
  <c r="A169" i="1"/>
  <c r="EV30" i="1"/>
  <c r="T169" i="1"/>
  <c r="F169" i="1"/>
  <c r="L169" i="1"/>
  <c r="ES30" i="1"/>
  <c r="Q169" i="1"/>
  <c r="DV63" i="1"/>
  <c r="EE63" i="1"/>
  <c r="EU57" i="1"/>
  <c r="S196" i="1"/>
  <c r="EQ57" i="1"/>
  <c r="O196" i="1"/>
  <c r="EV57" i="1"/>
  <c r="T196" i="1"/>
  <c r="ER57" i="1"/>
  <c r="P196" i="1"/>
  <c r="J196" i="1"/>
  <c r="F196" i="1"/>
  <c r="EP57" i="1"/>
  <c r="N196" i="1"/>
  <c r="K196" i="1"/>
  <c r="G196" i="1"/>
  <c r="A196" i="1"/>
  <c r="H196" i="1"/>
  <c r="ET57" i="1"/>
  <c r="R196" i="1"/>
  <c r="ES57" i="1"/>
  <c r="Q196" i="1"/>
  <c r="L196" i="1"/>
  <c r="CW63" i="1"/>
  <c r="DN63" i="1"/>
  <c r="F56" i="7"/>
  <c r="L56" i="7"/>
  <c r="L56" i="6"/>
  <c r="P56" i="7"/>
  <c r="P56" i="6"/>
  <c r="L62" i="6"/>
  <c r="L62" i="7"/>
  <c r="A62" i="7"/>
  <c r="A62" i="6"/>
  <c r="I196" i="1"/>
  <c r="L49" i="7"/>
  <c r="L49" i="6"/>
  <c r="H57" i="7"/>
  <c r="H57" i="6"/>
  <c r="AL63" i="1"/>
  <c r="A200" i="1"/>
  <c r="EV61" i="1"/>
  <c r="T200" i="1"/>
  <c r="ER61" i="1"/>
  <c r="P200" i="1"/>
  <c r="ES61" i="1"/>
  <c r="Q200" i="1"/>
  <c r="K200" i="1"/>
  <c r="G200" i="1"/>
  <c r="EQ61" i="1"/>
  <c r="O200" i="1"/>
  <c r="L200" i="1"/>
  <c r="H200" i="1"/>
  <c r="EP61" i="1"/>
  <c r="N200" i="1"/>
  <c r="EU61" i="1"/>
  <c r="S200" i="1"/>
  <c r="ET61" i="1"/>
  <c r="R200" i="1"/>
  <c r="I200" i="1"/>
  <c r="A23" i="7"/>
  <c r="E23" i="7"/>
  <c r="A23" i="6"/>
  <c r="K38" i="7"/>
  <c r="K38" i="6"/>
  <c r="B89" i="1"/>
  <c r="K33" i="6"/>
  <c r="K33" i="7"/>
  <c r="AY75" i="1"/>
  <c r="AX64" i="1"/>
  <c r="A162" i="1"/>
  <c r="ES23" i="1"/>
  <c r="Q162" i="1"/>
  <c r="ET23" i="1"/>
  <c r="R162" i="1"/>
  <c r="EP23" i="1"/>
  <c r="N162" i="1"/>
  <c r="L162" i="1"/>
  <c r="H162" i="1"/>
  <c r="EV23" i="1"/>
  <c r="T162" i="1"/>
  <c r="EU23" i="1"/>
  <c r="S162" i="1"/>
  <c r="I162" i="1"/>
  <c r="ER23" i="1"/>
  <c r="P162" i="1"/>
  <c r="EQ23" i="1"/>
  <c r="O162" i="1"/>
  <c r="J162" i="1"/>
  <c r="EU41" i="1"/>
  <c r="S180" i="1"/>
  <c r="EQ41" i="1"/>
  <c r="O180" i="1"/>
  <c r="A180" i="1"/>
  <c r="ER41" i="1"/>
  <c r="P180" i="1"/>
  <c r="K180" i="1"/>
  <c r="G180" i="1"/>
  <c r="ET41" i="1"/>
  <c r="R180" i="1"/>
  <c r="L180" i="1"/>
  <c r="H180" i="1"/>
  <c r="EV41" i="1"/>
  <c r="T180" i="1"/>
  <c r="EP41" i="1"/>
  <c r="N180" i="1"/>
  <c r="ES41" i="1"/>
  <c r="Q180" i="1"/>
  <c r="CN63" i="1"/>
  <c r="S24" i="6"/>
  <c r="S24" i="7"/>
  <c r="EV44" i="1"/>
  <c r="T183" i="1"/>
  <c r="L183" i="1"/>
  <c r="K183" i="1"/>
  <c r="EQ44" i="1"/>
  <c r="O183" i="1"/>
  <c r="I183" i="1"/>
  <c r="A183" i="1"/>
  <c r="ES44" i="1"/>
  <c r="Q183" i="1"/>
  <c r="ER44" i="1"/>
  <c r="P183" i="1"/>
  <c r="J183" i="1"/>
  <c r="F183" i="1"/>
  <c r="H183" i="1"/>
  <c r="G183" i="1"/>
  <c r="EP44" i="1"/>
  <c r="N183" i="1"/>
  <c r="ET44" i="1"/>
  <c r="R183" i="1"/>
  <c r="EU44" i="1"/>
  <c r="S183" i="1"/>
  <c r="CL63" i="1"/>
  <c r="EV31" i="1"/>
  <c r="T170" i="1"/>
  <c r="ES31" i="1"/>
  <c r="Q170" i="1"/>
  <c r="EQ31" i="1"/>
  <c r="O170" i="1"/>
  <c r="ET31" i="1"/>
  <c r="R170" i="1"/>
  <c r="ER31" i="1"/>
  <c r="P170" i="1"/>
  <c r="J170" i="1"/>
  <c r="EP31" i="1"/>
  <c r="N170" i="1"/>
  <c r="K170" i="1"/>
  <c r="G170" i="1"/>
  <c r="A170" i="1"/>
  <c r="EU31" i="1"/>
  <c r="S170" i="1"/>
  <c r="H53" i="7"/>
  <c r="H53" i="6"/>
  <c r="S53" i="7"/>
  <c r="S53" i="6"/>
  <c r="N186" i="1"/>
  <c r="H178" i="1"/>
  <c r="J169" i="1"/>
  <c r="J187" i="1"/>
  <c r="F187" i="1"/>
  <c r="A187" i="1"/>
  <c r="H187" i="1"/>
  <c r="ER60" i="1"/>
  <c r="P199" i="1"/>
  <c r="G199" i="1"/>
  <c r="EP60" i="1"/>
  <c r="N199" i="1"/>
  <c r="EV60" i="1"/>
  <c r="T199" i="1"/>
  <c r="ET60" i="1"/>
  <c r="R199" i="1"/>
  <c r="F199" i="1"/>
  <c r="A199" i="1"/>
  <c r="J199" i="1"/>
  <c r="I199" i="1"/>
  <c r="EU60" i="1"/>
  <c r="S199" i="1"/>
  <c r="EQ60" i="1"/>
  <c r="O199" i="1"/>
  <c r="ES60" i="1"/>
  <c r="Q199" i="1"/>
  <c r="DM63" i="1"/>
  <c r="O21" i="7"/>
  <c r="Q45" i="7"/>
  <c r="Q45" i="6"/>
  <c r="F162" i="1"/>
  <c r="A59" i="7"/>
  <c r="E59" i="7"/>
  <c r="A59" i="6"/>
  <c r="I38" i="7"/>
  <c r="I38" i="6"/>
  <c r="L170" i="1"/>
  <c r="G43" i="7"/>
  <c r="G43" i="6"/>
  <c r="P65" i="6"/>
  <c r="AA63" i="1"/>
  <c r="AT63" i="1"/>
  <c r="BC63" i="1"/>
  <c r="BK63" i="1"/>
  <c r="CE63" i="1"/>
  <c r="BB63" i="1"/>
  <c r="BV63" i="1"/>
  <c r="A164" i="1"/>
  <c r="ER25" i="1"/>
  <c r="P164" i="1"/>
  <c r="EU25" i="1"/>
  <c r="S164" i="1"/>
  <c r="ES25" i="1"/>
  <c r="Q164" i="1"/>
  <c r="K164" i="1"/>
  <c r="G164" i="1"/>
  <c r="ET25" i="1"/>
  <c r="R164" i="1"/>
  <c r="EQ25" i="1"/>
  <c r="O164" i="1"/>
  <c r="L164" i="1"/>
  <c r="H164" i="1"/>
  <c r="EV25" i="1"/>
  <c r="T164" i="1"/>
  <c r="EP25" i="1"/>
  <c r="N164" i="1"/>
  <c r="CU63" i="1"/>
  <c r="A56" i="7"/>
  <c r="A56" i="6"/>
  <c r="S62" i="6"/>
  <c r="S62" i="7"/>
  <c r="J200" i="1"/>
  <c r="L61" i="7"/>
  <c r="L61" i="6"/>
  <c r="F178" i="1"/>
  <c r="I41" i="7"/>
  <c r="I41" i="6"/>
  <c r="EQ20" i="1"/>
  <c r="O159" i="1"/>
  <c r="ER20" i="1"/>
  <c r="P159" i="1"/>
  <c r="EV20" i="1"/>
  <c r="T159" i="1"/>
  <c r="A159" i="1"/>
  <c r="EP20" i="1"/>
  <c r="N159" i="1"/>
  <c r="EU20" i="1"/>
  <c r="S159" i="1"/>
  <c r="F159" i="1"/>
  <c r="J159" i="1"/>
  <c r="H159" i="1"/>
  <c r="ET20" i="1"/>
  <c r="R159" i="1"/>
  <c r="K159" i="1"/>
  <c r="I159" i="1"/>
  <c r="G159" i="1"/>
  <c r="ES20" i="1"/>
  <c r="Q159" i="1"/>
  <c r="AK63" i="1"/>
  <c r="A192" i="1"/>
  <c r="EQ53" i="1"/>
  <c r="O192" i="1"/>
  <c r="EU53" i="1"/>
  <c r="S192" i="1"/>
  <c r="ER53" i="1"/>
  <c r="P192" i="1"/>
  <c r="K192" i="1"/>
  <c r="G192" i="1"/>
  <c r="EV53" i="1"/>
  <c r="T192" i="1"/>
  <c r="ES53" i="1"/>
  <c r="Q192" i="1"/>
  <c r="EP53" i="1"/>
  <c r="N192" i="1"/>
  <c r="I192" i="1"/>
  <c r="ET53" i="1"/>
  <c r="R192" i="1"/>
  <c r="L192" i="1"/>
  <c r="H192" i="1"/>
  <c r="ET6" i="1"/>
  <c r="EP6" i="1"/>
  <c r="EU6" i="1"/>
  <c r="A145" i="1"/>
  <c r="EV6" i="1"/>
  <c r="J145" i="1"/>
  <c r="G145" i="1"/>
  <c r="ER6" i="1"/>
  <c r="F145" i="1"/>
  <c r="I145" i="1"/>
  <c r="EQ6" i="1"/>
  <c r="K145" i="1"/>
  <c r="H145" i="1"/>
  <c r="ES6" i="1"/>
  <c r="J192" i="1"/>
  <c r="L50" i="6"/>
  <c r="G162" i="1"/>
  <c r="N153" i="1"/>
  <c r="CI75" i="1"/>
  <c r="CH64" i="1"/>
  <c r="G53" i="6"/>
  <c r="G53" i="7"/>
  <c r="R53" i="6"/>
  <c r="R53" i="7"/>
  <c r="P57" i="7"/>
  <c r="P57" i="6"/>
  <c r="T57" i="7"/>
  <c r="T57" i="6"/>
  <c r="F192" i="1"/>
  <c r="J164" i="1"/>
  <c r="EP40" i="1"/>
  <c r="N179" i="1"/>
  <c r="J179" i="1"/>
  <c r="H179" i="1"/>
  <c r="F179" i="1"/>
  <c r="K179" i="1"/>
  <c r="I179" i="1"/>
  <c r="G179" i="1"/>
  <c r="ES40" i="1"/>
  <c r="Q179" i="1"/>
  <c r="EU40" i="1"/>
  <c r="S179" i="1"/>
  <c r="EV40" i="1"/>
  <c r="T179" i="1"/>
  <c r="A179" i="1"/>
  <c r="EQ40" i="1"/>
  <c r="O179" i="1"/>
  <c r="ER40" i="1"/>
  <c r="P179" i="1"/>
  <c r="AG75" i="1"/>
  <c r="AF64" i="1"/>
  <c r="AP75" i="1"/>
  <c r="AO64" i="1"/>
  <c r="ES51" i="1"/>
  <c r="Q190" i="1"/>
  <c r="J190" i="1"/>
  <c r="H190" i="1"/>
  <c r="F190" i="1"/>
  <c r="K190" i="1"/>
  <c r="A190" i="1"/>
  <c r="EU51" i="1"/>
  <c r="S190" i="1"/>
  <c r="I190" i="1"/>
  <c r="ET51" i="1"/>
  <c r="R190" i="1"/>
  <c r="EV51" i="1"/>
  <c r="T190" i="1"/>
  <c r="EP51" i="1"/>
  <c r="N190" i="1"/>
  <c r="ER51" i="1"/>
  <c r="P190" i="1"/>
  <c r="EQ51" i="1"/>
  <c r="O190" i="1"/>
  <c r="S21" i="6"/>
  <c r="S21" i="7"/>
  <c r="I23" i="7"/>
  <c r="I23" i="6"/>
  <c r="N152" i="1"/>
  <c r="K199" i="1"/>
  <c r="Q26" i="7"/>
  <c r="P59" i="7"/>
  <c r="P59" i="6"/>
  <c r="Q38" i="7"/>
  <c r="Q38" i="6"/>
  <c r="H170" i="1"/>
  <c r="R166" i="1"/>
  <c r="AS63" i="1"/>
  <c r="BU63" i="1"/>
  <c r="CC63" i="1"/>
  <c r="DX63" i="1"/>
  <c r="EF63" i="1"/>
  <c r="EQ50" i="1"/>
  <c r="O189" i="1"/>
  <c r="A189" i="1"/>
  <c r="EU50" i="1"/>
  <c r="S189" i="1"/>
  <c r="EV50" i="1"/>
  <c r="T189" i="1"/>
  <c r="EP50" i="1"/>
  <c r="N189" i="1"/>
  <c r="ET50" i="1"/>
  <c r="R189" i="1"/>
  <c r="J189" i="1"/>
  <c r="L189" i="1"/>
  <c r="I189" i="1"/>
  <c r="ES50" i="1"/>
  <c r="Q189" i="1"/>
  <c r="ER50" i="1"/>
  <c r="P189" i="1"/>
  <c r="K189" i="1"/>
  <c r="H189" i="1"/>
  <c r="G189" i="1"/>
  <c r="F189" i="1"/>
  <c r="N185" i="1"/>
  <c r="F62" i="7"/>
  <c r="F62" i="6"/>
  <c r="P62" i="7"/>
  <c r="P62" i="6"/>
  <c r="F200" i="1"/>
  <c r="G61" i="7"/>
  <c r="G61" i="6"/>
  <c r="H148" i="1"/>
  <c r="K148" i="1"/>
  <c r="ES9" i="1"/>
  <c r="Q148" i="1"/>
  <c r="L148" i="1"/>
  <c r="ET9" i="1"/>
  <c r="R148" i="1"/>
  <c r="EU9" i="1"/>
  <c r="S148" i="1"/>
  <c r="EV9" i="1"/>
  <c r="T148" i="1"/>
  <c r="G148" i="1"/>
  <c r="EP9" i="1"/>
  <c r="N148" i="1"/>
  <c r="I148" i="1"/>
  <c r="A148" i="1"/>
  <c r="J148" i="1"/>
  <c r="ER9" i="1"/>
  <c r="P148" i="1"/>
  <c r="EQ9" i="1"/>
  <c r="O148" i="1"/>
  <c r="F75" i="1"/>
  <c r="E64" i="1"/>
  <c r="AJ63" i="1"/>
  <c r="J63" i="1"/>
  <c r="I178" i="1"/>
  <c r="H28" i="7"/>
  <c r="K147" i="1"/>
  <c r="J53" i="7"/>
  <c r="J53" i="6"/>
  <c r="F57" i="6"/>
  <c r="F57" i="7"/>
  <c r="I57" i="7"/>
  <c r="I57" i="6"/>
  <c r="F164" i="1"/>
  <c r="EV12" i="1"/>
  <c r="T151" i="1"/>
  <c r="ES12" i="1"/>
  <c r="Q151" i="1"/>
  <c r="EP12" i="1"/>
  <c r="N151" i="1"/>
  <c r="EQ12" i="1"/>
  <c r="O151" i="1"/>
  <c r="A151" i="1"/>
  <c r="ER12" i="1"/>
  <c r="P151" i="1"/>
  <c r="K151" i="1"/>
  <c r="I151" i="1"/>
  <c r="G151" i="1"/>
  <c r="ET12" i="1"/>
  <c r="R151" i="1"/>
  <c r="J151" i="1"/>
  <c r="F151" i="1"/>
  <c r="EU12" i="1"/>
  <c r="S151" i="1"/>
  <c r="H151" i="1"/>
  <c r="N150" i="1"/>
  <c r="L23" i="6"/>
  <c r="L23" i="7"/>
  <c r="Q23" i="6"/>
  <c r="Q23" i="7"/>
  <c r="A26" i="6"/>
  <c r="A26" i="7"/>
  <c r="F59" i="7"/>
  <c r="F59" i="6"/>
  <c r="N167" i="1"/>
  <c r="I164" i="1"/>
  <c r="L159" i="1"/>
  <c r="I48" i="6"/>
  <c r="J37" i="6"/>
  <c r="J37" i="7"/>
  <c r="G31" i="7"/>
  <c r="EX33" i="1"/>
  <c r="I43" i="6"/>
  <c r="I43" i="7"/>
  <c r="AC63" i="1"/>
  <c r="K198" i="1"/>
  <c r="F198" i="1"/>
  <c r="ES59" i="1"/>
  <c r="Q198" i="1"/>
  <c r="G198" i="1"/>
  <c r="L198" i="1"/>
  <c r="A198" i="1"/>
  <c r="EU59" i="1"/>
  <c r="S198" i="1"/>
  <c r="I198" i="1"/>
  <c r="ET59" i="1"/>
  <c r="R198" i="1"/>
  <c r="EV59" i="1"/>
  <c r="T198" i="1"/>
  <c r="EP59" i="1"/>
  <c r="N198" i="1"/>
  <c r="ER59" i="1"/>
  <c r="P198" i="1"/>
  <c r="EQ59" i="1"/>
  <c r="O198" i="1"/>
  <c r="T56" i="7"/>
  <c r="I62" i="6"/>
  <c r="I62" i="7"/>
  <c r="N191" i="1"/>
  <c r="H198" i="1"/>
  <c r="EV45" i="1"/>
  <c r="T184" i="1"/>
  <c r="ER45" i="1"/>
  <c r="P184" i="1"/>
  <c r="A184" i="1"/>
  <c r="ES45" i="1"/>
  <c r="Q184" i="1"/>
  <c r="K184" i="1"/>
  <c r="H184" i="1"/>
  <c r="EQ45" i="1"/>
  <c r="O184" i="1"/>
  <c r="L184" i="1"/>
  <c r="EP45" i="1"/>
  <c r="N184" i="1"/>
  <c r="EU45" i="1"/>
  <c r="S184" i="1"/>
  <c r="ET45" i="1"/>
  <c r="R184" i="1"/>
  <c r="I184" i="1"/>
  <c r="L57" i="7"/>
  <c r="L57" i="6"/>
  <c r="F51" i="7"/>
  <c r="F51" i="6"/>
  <c r="A21" i="7"/>
  <c r="E21" i="7"/>
  <c r="A21" i="6"/>
  <c r="L43" i="7"/>
  <c r="L43" i="6"/>
  <c r="L16" i="7"/>
  <c r="L16" i="6"/>
  <c r="A178" i="1"/>
  <c r="EV39" i="1"/>
  <c r="T178" i="1"/>
  <c r="ES39" i="1"/>
  <c r="Q178" i="1"/>
  <c r="EP39" i="1"/>
  <c r="N178" i="1"/>
  <c r="ET39" i="1"/>
  <c r="R178" i="1"/>
  <c r="EQ39" i="1"/>
  <c r="O178" i="1"/>
  <c r="J178" i="1"/>
  <c r="G178" i="1"/>
  <c r="EU39" i="1"/>
  <c r="S178" i="1"/>
  <c r="ER39" i="1"/>
  <c r="P178" i="1"/>
  <c r="CM63" i="1"/>
  <c r="O182" i="1"/>
  <c r="J57" i="7"/>
  <c r="J57" i="6"/>
  <c r="O57" i="7"/>
  <c r="O57" i="6"/>
  <c r="L28" i="6"/>
  <c r="L28" i="7"/>
  <c r="A147" i="1"/>
  <c r="EQ8" i="1"/>
  <c r="O147" i="1"/>
  <c r="EV8" i="1"/>
  <c r="T147" i="1"/>
  <c r="ER8" i="1"/>
  <c r="P147" i="1"/>
  <c r="ET8" i="1"/>
  <c r="R147" i="1"/>
  <c r="I147" i="1"/>
  <c r="EU8" i="1"/>
  <c r="S147" i="1"/>
  <c r="L147" i="1"/>
  <c r="F147" i="1"/>
  <c r="H147" i="1"/>
  <c r="G147" i="1"/>
  <c r="EP8" i="1"/>
  <c r="N147" i="1"/>
  <c r="ES8" i="1"/>
  <c r="Q147" i="1"/>
  <c r="A156" i="1"/>
  <c r="ER17" i="1"/>
  <c r="P156" i="1"/>
  <c r="EV17" i="1"/>
  <c r="T156" i="1"/>
  <c r="H156" i="1"/>
  <c r="EU17" i="1"/>
  <c r="S156" i="1"/>
  <c r="I156" i="1"/>
  <c r="ES17" i="1"/>
  <c r="Q156" i="1"/>
  <c r="ET17" i="1"/>
  <c r="R156" i="1"/>
  <c r="K156" i="1"/>
  <c r="J156" i="1"/>
  <c r="EQ17" i="1"/>
  <c r="O156" i="1"/>
  <c r="EP17" i="1"/>
  <c r="N156" i="1"/>
  <c r="G156" i="1"/>
  <c r="L156" i="1"/>
  <c r="DO63" i="1"/>
  <c r="J21" i="6"/>
  <c r="J21" i="7"/>
  <c r="P21" i="7"/>
  <c r="P21" i="6"/>
  <c r="O23" i="7"/>
  <c r="O23" i="6"/>
  <c r="T23" i="6"/>
  <c r="T23" i="7"/>
  <c r="E45" i="6"/>
  <c r="H26" i="7"/>
  <c r="I180" i="1"/>
  <c r="N188" i="1"/>
  <c r="F38" i="6"/>
  <c r="F38" i="7"/>
  <c r="F184" i="1"/>
  <c r="L22" i="7"/>
  <c r="L22" i="6"/>
  <c r="T37" i="7"/>
  <c r="T37" i="6"/>
  <c r="R43" i="7"/>
  <c r="R43" i="6"/>
  <c r="EW33" i="1"/>
  <c r="P66" i="7"/>
  <c r="P66" i="6"/>
  <c r="T53" i="6"/>
  <c r="R68" i="6"/>
  <c r="I56" i="6"/>
  <c r="A24" i="6"/>
  <c r="J38" i="7"/>
  <c r="J26" i="7"/>
  <c r="J51" i="6"/>
  <c r="R56" i="6"/>
  <c r="I26" i="7"/>
  <c r="S57" i="6"/>
  <c r="F193" i="1"/>
  <c r="K153" i="1"/>
  <c r="ER14" i="1"/>
  <c r="P153" i="1"/>
  <c r="J153" i="1"/>
  <c r="F24" i="7"/>
  <c r="T26" i="6"/>
  <c r="K56" i="6"/>
  <c r="J56" i="6"/>
  <c r="EX11" i="1"/>
  <c r="EW13" i="1"/>
  <c r="K72" i="6"/>
  <c r="H24" i="7"/>
  <c r="J55" i="6"/>
  <c r="EW47" i="1"/>
  <c r="L46" i="7"/>
  <c r="S14" i="7"/>
  <c r="R48" i="7"/>
  <c r="S42" i="6"/>
  <c r="T72" i="6"/>
  <c r="R14" i="6"/>
  <c r="P23" i="7"/>
  <c r="F53" i="6"/>
  <c r="J175" i="1"/>
  <c r="K175" i="1"/>
  <c r="I175" i="1"/>
  <c r="F41" i="6"/>
  <c r="EV48" i="1"/>
  <c r="T187" i="1"/>
  <c r="T58" i="6"/>
  <c r="EP48" i="1"/>
  <c r="N187" i="1"/>
  <c r="N58" i="7"/>
  <c r="J28" i="6"/>
  <c r="ER54" i="1"/>
  <c r="P193" i="1"/>
  <c r="P64" i="7"/>
  <c r="ES54" i="1"/>
  <c r="Q193" i="1"/>
  <c r="Q64" i="7"/>
  <c r="H72" i="6"/>
  <c r="EQ36" i="1"/>
  <c r="O175" i="1"/>
  <c r="O46" i="7"/>
  <c r="ET54" i="1"/>
  <c r="R193" i="1"/>
  <c r="EV36" i="1"/>
  <c r="T175" i="1"/>
  <c r="EP36" i="1"/>
  <c r="T48" i="6"/>
  <c r="EU48" i="1"/>
  <c r="S187" i="1"/>
  <c r="S58" i="6"/>
  <c r="EX47" i="1"/>
  <c r="F23" i="6"/>
  <c r="G187" i="1"/>
  <c r="G58" i="7"/>
  <c r="EQ48" i="1"/>
  <c r="O187" i="1"/>
  <c r="O58" i="7"/>
  <c r="K187" i="1"/>
  <c r="DE64" i="1"/>
  <c r="DF73" i="1"/>
  <c r="T52" i="6"/>
  <c r="L24" i="6"/>
  <c r="EX62" i="1"/>
  <c r="EQ54" i="1"/>
  <c r="O193" i="1"/>
  <c r="O64" i="7"/>
  <c r="G175" i="1"/>
  <c r="H175" i="1"/>
  <c r="H46" i="7"/>
  <c r="EU36" i="1"/>
  <c r="S175" i="1"/>
  <c r="S46" i="7"/>
  <c r="R63" i="1"/>
  <c r="EX49" i="1"/>
  <c r="E59" i="6"/>
  <c r="ET48" i="1"/>
  <c r="R187" i="1"/>
  <c r="R58" i="7"/>
  <c r="EX18" i="1"/>
  <c r="E28" i="6"/>
  <c r="P26" i="6"/>
  <c r="ER48" i="1"/>
  <c r="P187" i="1"/>
  <c r="P58" i="7"/>
  <c r="ES48" i="1"/>
  <c r="Q187" i="1"/>
  <c r="Q58" i="7"/>
  <c r="I187" i="1"/>
  <c r="S26" i="7"/>
  <c r="ER36" i="1"/>
  <c r="P175" i="1"/>
  <c r="P46" i="6"/>
  <c r="A175" i="1"/>
  <c r="A46" i="7"/>
  <c r="E46" i="7"/>
  <c r="O75" i="1"/>
  <c r="N64" i="1"/>
  <c r="B76" i="1"/>
  <c r="T63" i="1"/>
  <c r="S63" i="1"/>
  <c r="F175" i="1"/>
  <c r="K53" i="6"/>
  <c r="K53" i="7"/>
  <c r="EX16" i="1"/>
  <c r="E155" i="1"/>
  <c r="EW38" i="1"/>
  <c r="R28" i="7"/>
  <c r="L199" i="1"/>
  <c r="H199" i="1"/>
  <c r="EX52" i="1"/>
  <c r="E62" i="6"/>
  <c r="S46" i="6"/>
  <c r="EV54" i="1"/>
  <c r="T193" i="1"/>
  <c r="EP54" i="1"/>
  <c r="I193" i="1"/>
  <c r="K193" i="1"/>
  <c r="EU54" i="1"/>
  <c r="S193" i="1"/>
  <c r="J193" i="1"/>
  <c r="A193" i="1"/>
  <c r="G193" i="1"/>
  <c r="L193" i="1"/>
  <c r="EW52" i="1"/>
  <c r="EW16" i="1"/>
  <c r="N42" i="6"/>
  <c r="N34" i="6"/>
  <c r="EW11" i="1"/>
  <c r="EW27" i="1"/>
  <c r="N36" i="7"/>
  <c r="EX42" i="1"/>
  <c r="E52" i="6"/>
  <c r="EX43" i="1"/>
  <c r="E53" i="6"/>
  <c r="S47" i="7"/>
  <c r="EW46" i="1"/>
  <c r="P72" i="6"/>
  <c r="T68" i="6"/>
  <c r="EW22" i="1"/>
  <c r="EX38" i="1"/>
  <c r="EX46" i="1"/>
  <c r="E185" i="1"/>
  <c r="EX21" i="1"/>
  <c r="E160" i="1"/>
  <c r="EW18" i="1"/>
  <c r="EX22" i="1"/>
  <c r="E32" i="6"/>
  <c r="L34" i="7"/>
  <c r="L34" i="6"/>
  <c r="G34" i="7"/>
  <c r="G34" i="6"/>
  <c r="K34" i="7"/>
  <c r="K34" i="6"/>
  <c r="A34" i="7"/>
  <c r="A34" i="6"/>
  <c r="A53" i="7"/>
  <c r="E53" i="7"/>
  <c r="A53" i="6"/>
  <c r="P32" i="7"/>
  <c r="P32" i="6"/>
  <c r="A32" i="7"/>
  <c r="E32" i="7"/>
  <c r="A32" i="6"/>
  <c r="T59" i="7"/>
  <c r="T59" i="6"/>
  <c r="L59" i="7"/>
  <c r="L59" i="6"/>
  <c r="Q59" i="7"/>
  <c r="Q59" i="6"/>
  <c r="A57" i="7"/>
  <c r="E57" i="7"/>
  <c r="A57" i="6"/>
  <c r="K20" i="7"/>
  <c r="K20" i="6"/>
  <c r="G20" i="7"/>
  <c r="G20" i="6"/>
  <c r="A20" i="6"/>
  <c r="A20" i="7"/>
  <c r="L65" i="7"/>
  <c r="L65" i="6"/>
  <c r="S65" i="6"/>
  <c r="S65" i="7"/>
  <c r="G65" i="7"/>
  <c r="G65" i="6"/>
  <c r="S23" i="7"/>
  <c r="S23" i="6"/>
  <c r="K21" i="7"/>
  <c r="K21" i="6"/>
  <c r="S39" i="7"/>
  <c r="S39" i="6"/>
  <c r="P39" i="7"/>
  <c r="P39" i="6"/>
  <c r="T39" i="7"/>
  <c r="T39" i="6"/>
  <c r="O39" i="7"/>
  <c r="O39" i="6"/>
  <c r="K15" i="6"/>
  <c r="K15" i="7"/>
  <c r="N144" i="1"/>
  <c r="EW5" i="1"/>
  <c r="EX5" i="1"/>
  <c r="O15" i="6"/>
  <c r="O15" i="7"/>
  <c r="Q15" i="7"/>
  <c r="Q15" i="6"/>
  <c r="L66" i="7"/>
  <c r="L66" i="6"/>
  <c r="G66" i="7"/>
  <c r="G66" i="6"/>
  <c r="K66" i="7"/>
  <c r="K66" i="6"/>
  <c r="F37" i="7"/>
  <c r="F37" i="6"/>
  <c r="S37" i="7"/>
  <c r="S37" i="6"/>
  <c r="G37" i="6"/>
  <c r="G37" i="7"/>
  <c r="F29" i="7"/>
  <c r="F29" i="6"/>
  <c r="A29" i="7"/>
  <c r="E29" i="7"/>
  <c r="A29" i="6"/>
  <c r="J29" i="7"/>
  <c r="J29" i="6"/>
  <c r="R25" i="6"/>
  <c r="R25" i="7"/>
  <c r="F25" i="7"/>
  <c r="F25" i="6"/>
  <c r="O25" i="6"/>
  <c r="O25" i="7"/>
  <c r="H56" i="7"/>
  <c r="H56" i="6"/>
  <c r="K14" i="6"/>
  <c r="K14" i="7"/>
  <c r="P14" i="7"/>
  <c r="P14" i="6"/>
  <c r="O14" i="7"/>
  <c r="O14" i="6"/>
  <c r="A47" i="6"/>
  <c r="A47" i="7"/>
  <c r="E47" i="7"/>
  <c r="Q47" i="6"/>
  <c r="Q47" i="7"/>
  <c r="P47" i="6"/>
  <c r="P47" i="7"/>
  <c r="T47" i="7"/>
  <c r="T47" i="6"/>
  <c r="K23" i="7"/>
  <c r="K23" i="6"/>
  <c r="Q42" i="7"/>
  <c r="Q42" i="6"/>
  <c r="L42" i="6"/>
  <c r="L42" i="7"/>
  <c r="K42" i="6"/>
  <c r="K42" i="7"/>
  <c r="F21" i="6"/>
  <c r="F21" i="7"/>
  <c r="A48" i="7"/>
  <c r="E48" i="7"/>
  <c r="A48" i="6"/>
  <c r="P48" i="7"/>
  <c r="P48" i="6"/>
  <c r="F48" i="6"/>
  <c r="F48" i="7"/>
  <c r="O46" i="6"/>
  <c r="A68" i="6"/>
  <c r="A68" i="7"/>
  <c r="Q68" i="6"/>
  <c r="Q68" i="7"/>
  <c r="G68" i="6"/>
  <c r="G68" i="7"/>
  <c r="H36" i="7"/>
  <c r="H36" i="6"/>
  <c r="Q36" i="7"/>
  <c r="Q36" i="6"/>
  <c r="K36" i="6"/>
  <c r="K36" i="7"/>
  <c r="F28" i="6"/>
  <c r="F28" i="7"/>
  <c r="I28" i="7"/>
  <c r="I28" i="6"/>
  <c r="G26" i="7"/>
  <c r="G26" i="6"/>
  <c r="A52" i="6"/>
  <c r="A52" i="7"/>
  <c r="E52" i="7"/>
  <c r="N52" i="6"/>
  <c r="N52" i="7"/>
  <c r="P52" i="6"/>
  <c r="P52" i="7"/>
  <c r="P17" i="7"/>
  <c r="P17" i="6"/>
  <c r="O17" i="6"/>
  <c r="O17" i="7"/>
  <c r="S17" i="6"/>
  <c r="S17" i="7"/>
  <c r="K17" i="6"/>
  <c r="K17" i="7"/>
  <c r="F31" i="6"/>
  <c r="F31" i="7"/>
  <c r="L31" i="6"/>
  <c r="L31" i="7"/>
  <c r="T31" i="6"/>
  <c r="T31" i="7"/>
  <c r="EX27" i="1"/>
  <c r="E37" i="6"/>
  <c r="L26" i="6"/>
  <c r="N177" i="1"/>
  <c r="N48" i="7"/>
  <c r="EW42" i="1"/>
  <c r="S52" i="6"/>
  <c r="EW62" i="1"/>
  <c r="F34" i="7"/>
  <c r="F34" i="6"/>
  <c r="H34" i="7"/>
  <c r="H34" i="6"/>
  <c r="N53" i="7"/>
  <c r="N53" i="6"/>
  <c r="O72" i="6"/>
  <c r="O72" i="7"/>
  <c r="Q72" i="7"/>
  <c r="Q72" i="6"/>
  <c r="G32" i="6"/>
  <c r="G32" i="7"/>
  <c r="O32" i="7"/>
  <c r="O32" i="6"/>
  <c r="N32" i="7"/>
  <c r="N32" i="6"/>
  <c r="O59" i="6"/>
  <c r="O59" i="7"/>
  <c r="G59" i="6"/>
  <c r="G59" i="7"/>
  <c r="J59" i="7"/>
  <c r="J59" i="6"/>
  <c r="G38" i="7"/>
  <c r="G38" i="6"/>
  <c r="Q57" i="7"/>
  <c r="Q57" i="6"/>
  <c r="J20" i="7"/>
  <c r="J20" i="6"/>
  <c r="F20" i="6"/>
  <c r="F20" i="7"/>
  <c r="P20" i="7"/>
  <c r="P20" i="6"/>
  <c r="T65" i="7"/>
  <c r="T65" i="6"/>
  <c r="I65" i="7"/>
  <c r="I65" i="6"/>
  <c r="A65" i="6"/>
  <c r="A65" i="7"/>
  <c r="E65" i="7"/>
  <c r="R23" i="7"/>
  <c r="R23" i="6"/>
  <c r="K39" i="6"/>
  <c r="K39" i="7"/>
  <c r="A39" i="7"/>
  <c r="E39" i="7"/>
  <c r="A39" i="6"/>
  <c r="G39" i="7"/>
  <c r="G39" i="6"/>
  <c r="I39" i="6"/>
  <c r="I39" i="7"/>
  <c r="T15" i="6"/>
  <c r="T15" i="7"/>
  <c r="F15" i="6"/>
  <c r="F15" i="7"/>
  <c r="G15" i="6"/>
  <c r="G15" i="7"/>
  <c r="A66" i="6"/>
  <c r="A66" i="7"/>
  <c r="J66" i="7"/>
  <c r="J66" i="6"/>
  <c r="Q37" i="7"/>
  <c r="Q37" i="6"/>
  <c r="O37" i="6"/>
  <c r="O37" i="7"/>
  <c r="N37" i="7"/>
  <c r="N37" i="6"/>
  <c r="T29" i="7"/>
  <c r="T29" i="6"/>
  <c r="O29" i="7"/>
  <c r="O29" i="6"/>
  <c r="P29" i="7"/>
  <c r="P29" i="6"/>
  <c r="R29" i="6"/>
  <c r="R29" i="7"/>
  <c r="L25" i="7"/>
  <c r="L25" i="6"/>
  <c r="K25" i="7"/>
  <c r="K25" i="6"/>
  <c r="Q25" i="7"/>
  <c r="Q25" i="6"/>
  <c r="P25" i="7"/>
  <c r="P25" i="6"/>
  <c r="Q56" i="7"/>
  <c r="Q56" i="6"/>
  <c r="Q62" i="7"/>
  <c r="Q62" i="6"/>
  <c r="N14" i="6"/>
  <c r="N14" i="7"/>
  <c r="H14" i="7"/>
  <c r="H14" i="6"/>
  <c r="A14" i="6"/>
  <c r="A14" i="7"/>
  <c r="I47" i="6"/>
  <c r="I47" i="7"/>
  <c r="L47" i="6"/>
  <c r="L47" i="7"/>
  <c r="J47" i="7"/>
  <c r="J47" i="6"/>
  <c r="H47" i="7"/>
  <c r="H47" i="6"/>
  <c r="H42" i="6"/>
  <c r="H42" i="7"/>
  <c r="O42" i="6"/>
  <c r="O42" i="7"/>
  <c r="F42" i="7"/>
  <c r="F42" i="6"/>
  <c r="Q21" i="6"/>
  <c r="Q21" i="7"/>
  <c r="H48" i="7"/>
  <c r="H48" i="6"/>
  <c r="L48" i="6"/>
  <c r="L48" i="7"/>
  <c r="O48" i="6"/>
  <c r="O48" i="7"/>
  <c r="L68" i="6"/>
  <c r="L68" i="7"/>
  <c r="P68" i="7"/>
  <c r="P68" i="6"/>
  <c r="O68" i="6"/>
  <c r="O68" i="7"/>
  <c r="P36" i="6"/>
  <c r="P36" i="7"/>
  <c r="L36" i="7"/>
  <c r="L36" i="6"/>
  <c r="F36" i="7"/>
  <c r="F36" i="6"/>
  <c r="O28" i="6"/>
  <c r="O28" i="7"/>
  <c r="P28" i="7"/>
  <c r="P28" i="6"/>
  <c r="O26" i="7"/>
  <c r="O26" i="6"/>
  <c r="L52" i="6"/>
  <c r="L52" i="7"/>
  <c r="O52" i="6"/>
  <c r="O52" i="7"/>
  <c r="K52" i="7"/>
  <c r="K52" i="6"/>
  <c r="N146" i="1"/>
  <c r="EW7" i="1"/>
  <c r="EX7" i="1"/>
  <c r="G17" i="6"/>
  <c r="G17" i="7"/>
  <c r="I17" i="6"/>
  <c r="I17" i="7"/>
  <c r="K31" i="7"/>
  <c r="K31" i="6"/>
  <c r="O31" i="6"/>
  <c r="O31" i="7"/>
  <c r="Q31" i="7"/>
  <c r="Q31" i="6"/>
  <c r="I31" i="6"/>
  <c r="I31" i="7"/>
  <c r="I34" i="6"/>
  <c r="I34" i="7"/>
  <c r="I72" i="7"/>
  <c r="I72" i="6"/>
  <c r="I32" i="7"/>
  <c r="I32" i="6"/>
  <c r="O38" i="6"/>
  <c r="O38" i="7"/>
  <c r="T25" i="7"/>
  <c r="T25" i="6"/>
  <c r="EW49" i="1"/>
  <c r="EW43" i="1"/>
  <c r="EX13" i="1"/>
  <c r="E23" i="6"/>
  <c r="EW21" i="1"/>
  <c r="P34" i="6"/>
  <c r="P34" i="7"/>
  <c r="Q34" i="6"/>
  <c r="Q34" i="7"/>
  <c r="J34" i="7"/>
  <c r="J34" i="6"/>
  <c r="P53" i="7"/>
  <c r="P53" i="6"/>
  <c r="G72" i="7"/>
  <c r="G72" i="6"/>
  <c r="Q32" i="7"/>
  <c r="Q32" i="6"/>
  <c r="F32" i="7"/>
  <c r="F32" i="6"/>
  <c r="H32" i="6"/>
  <c r="H32" i="7"/>
  <c r="H59" i="6"/>
  <c r="H59" i="7"/>
  <c r="I59" i="6"/>
  <c r="I59" i="7"/>
  <c r="L38" i="6"/>
  <c r="L38" i="7"/>
  <c r="A38" i="7"/>
  <c r="A38" i="6"/>
  <c r="G57" i="7"/>
  <c r="G57" i="6"/>
  <c r="O20" i="7"/>
  <c r="O20" i="6"/>
  <c r="N20" i="7"/>
  <c r="N20" i="6"/>
  <c r="H20" i="7"/>
  <c r="H20" i="6"/>
  <c r="N194" i="1"/>
  <c r="EW55" i="1"/>
  <c r="EX55" i="1"/>
  <c r="R65" i="6"/>
  <c r="R65" i="7"/>
  <c r="Q65" i="6"/>
  <c r="Q65" i="7"/>
  <c r="J65" i="6"/>
  <c r="J65" i="7"/>
  <c r="H39" i="7"/>
  <c r="H39" i="6"/>
  <c r="L39" i="6"/>
  <c r="L39" i="7"/>
  <c r="R39" i="7"/>
  <c r="R39" i="6"/>
  <c r="J15" i="7"/>
  <c r="J15" i="6"/>
  <c r="L15" i="7"/>
  <c r="L15" i="6"/>
  <c r="H15" i="6"/>
  <c r="H15" i="7"/>
  <c r="A15" i="7"/>
  <c r="E15" i="7"/>
  <c r="A15" i="6"/>
  <c r="I66" i="7"/>
  <c r="I66" i="6"/>
  <c r="H66" i="7"/>
  <c r="H66" i="6"/>
  <c r="Q66" i="6"/>
  <c r="Q66" i="7"/>
  <c r="I37" i="6"/>
  <c r="I37" i="7"/>
  <c r="K37" i="7"/>
  <c r="K37" i="6"/>
  <c r="P37" i="6"/>
  <c r="P37" i="7"/>
  <c r="H29" i="6"/>
  <c r="H29" i="7"/>
  <c r="N158" i="1"/>
  <c r="EX19" i="1"/>
  <c r="EW19" i="1"/>
  <c r="I29" i="7"/>
  <c r="I29" i="6"/>
  <c r="Q29" i="6"/>
  <c r="Q29" i="7"/>
  <c r="S25" i="7"/>
  <c r="S25" i="6"/>
  <c r="N154" i="1"/>
  <c r="EW15" i="1"/>
  <c r="EX15" i="1"/>
  <c r="J25" i="7"/>
  <c r="J25" i="6"/>
  <c r="H25" i="6"/>
  <c r="H25" i="7"/>
  <c r="O56" i="7"/>
  <c r="O56" i="6"/>
  <c r="H64" i="7"/>
  <c r="H64" i="6"/>
  <c r="H62" i="7"/>
  <c r="H62" i="6"/>
  <c r="F14" i="7"/>
  <c r="F14" i="6"/>
  <c r="J14" i="7"/>
  <c r="J14" i="6"/>
  <c r="L14" i="7"/>
  <c r="L14" i="6"/>
  <c r="F47" i="7"/>
  <c r="F47" i="6"/>
  <c r="O47" i="7"/>
  <c r="O47" i="6"/>
  <c r="I42" i="7"/>
  <c r="I42" i="6"/>
  <c r="J42" i="7"/>
  <c r="J42" i="6"/>
  <c r="G42" i="6"/>
  <c r="G42" i="7"/>
  <c r="R21" i="7"/>
  <c r="R21" i="6"/>
  <c r="K48" i="7"/>
  <c r="K48" i="6"/>
  <c r="G48" i="7"/>
  <c r="G48" i="6"/>
  <c r="P46" i="7"/>
  <c r="A46" i="6"/>
  <c r="K68" i="7"/>
  <c r="K68" i="6"/>
  <c r="I68" i="7"/>
  <c r="I68" i="6"/>
  <c r="J68" i="7"/>
  <c r="J68" i="6"/>
  <c r="I36" i="7"/>
  <c r="I36" i="6"/>
  <c r="A36" i="6"/>
  <c r="A36" i="7"/>
  <c r="G28" i="7"/>
  <c r="G28" i="6"/>
  <c r="Q28" i="6"/>
  <c r="Q28" i="7"/>
  <c r="F26" i="7"/>
  <c r="F26" i="6"/>
  <c r="K26" i="7"/>
  <c r="K26" i="6"/>
  <c r="I52" i="7"/>
  <c r="I52" i="6"/>
  <c r="Q52" i="6"/>
  <c r="Q52" i="7"/>
  <c r="H52" i="7"/>
  <c r="H52" i="6"/>
  <c r="F17" i="7"/>
  <c r="F17" i="6"/>
  <c r="Q17" i="7"/>
  <c r="Q17" i="6"/>
  <c r="J17" i="6"/>
  <c r="J17" i="7"/>
  <c r="L17" i="7"/>
  <c r="L17" i="6"/>
  <c r="J31" i="6"/>
  <c r="J31" i="7"/>
  <c r="N31" i="7"/>
  <c r="N31" i="6"/>
  <c r="H31" i="6"/>
  <c r="H31" i="7"/>
  <c r="Q53" i="7"/>
  <c r="Q53" i="6"/>
  <c r="L72" i="7"/>
  <c r="L72" i="6"/>
  <c r="A72" i="6"/>
  <c r="A72" i="7"/>
  <c r="E72" i="7"/>
  <c r="J32" i="7"/>
  <c r="J32" i="6"/>
  <c r="K32" i="6"/>
  <c r="K32" i="7"/>
  <c r="S59" i="7"/>
  <c r="S59" i="6"/>
  <c r="R59" i="6"/>
  <c r="R59" i="7"/>
  <c r="K59" i="7"/>
  <c r="K59" i="6"/>
  <c r="H38" i="6"/>
  <c r="H38" i="7"/>
  <c r="P38" i="7"/>
  <c r="P38" i="6"/>
  <c r="R57" i="7"/>
  <c r="R57" i="6"/>
  <c r="L20" i="7"/>
  <c r="L20" i="6"/>
  <c r="Q20" i="6"/>
  <c r="Q20" i="7"/>
  <c r="I20" i="6"/>
  <c r="I20" i="7"/>
  <c r="K65" i="6"/>
  <c r="K65" i="7"/>
  <c r="H65" i="7"/>
  <c r="H65" i="6"/>
  <c r="O65" i="7"/>
  <c r="O65" i="6"/>
  <c r="F65" i="7"/>
  <c r="F65" i="6"/>
  <c r="J39" i="6"/>
  <c r="J39" i="7"/>
  <c r="EW29" i="1"/>
  <c r="N168" i="1"/>
  <c r="EX29" i="1"/>
  <c r="Q39" i="6"/>
  <c r="Q39" i="7"/>
  <c r="F39" i="7"/>
  <c r="F39" i="6"/>
  <c r="I15" i="6"/>
  <c r="I15" i="7"/>
  <c r="R15" i="7"/>
  <c r="R15" i="6"/>
  <c r="P15" i="7"/>
  <c r="P15" i="6"/>
  <c r="S15" i="6"/>
  <c r="S15" i="7"/>
  <c r="O66" i="7"/>
  <c r="O66" i="6"/>
  <c r="N66" i="6"/>
  <c r="N66" i="7"/>
  <c r="F66" i="6"/>
  <c r="F66" i="7"/>
  <c r="H37" i="7"/>
  <c r="H37" i="6"/>
  <c r="L37" i="7"/>
  <c r="L37" i="6"/>
  <c r="A37" i="6"/>
  <c r="A37" i="7"/>
  <c r="E37" i="7"/>
  <c r="S29" i="6"/>
  <c r="S29" i="7"/>
  <c r="L29" i="7"/>
  <c r="L29" i="6"/>
  <c r="K29" i="6"/>
  <c r="K29" i="7"/>
  <c r="G29" i="7"/>
  <c r="G29" i="6"/>
  <c r="I25" i="7"/>
  <c r="I25" i="6"/>
  <c r="A25" i="6"/>
  <c r="A25" i="7"/>
  <c r="E25" i="7"/>
  <c r="G25" i="6"/>
  <c r="G25" i="7"/>
  <c r="I21" i="6"/>
  <c r="I21" i="7"/>
  <c r="F64" i="7"/>
  <c r="F64" i="6"/>
  <c r="O62" i="6"/>
  <c r="O62" i="7"/>
  <c r="G14" i="7"/>
  <c r="G14" i="6"/>
  <c r="I14" i="6"/>
  <c r="I14" i="7"/>
  <c r="Q14" i="7"/>
  <c r="Q14" i="6"/>
  <c r="K47" i="6"/>
  <c r="K47" i="7"/>
  <c r="N176" i="1"/>
  <c r="EX37" i="1"/>
  <c r="EW37" i="1"/>
  <c r="R47" i="7"/>
  <c r="R47" i="6"/>
  <c r="G47" i="6"/>
  <c r="G47" i="7"/>
  <c r="H21" i="6"/>
  <c r="H21" i="7"/>
  <c r="P42" i="6"/>
  <c r="P42" i="7"/>
  <c r="A42" i="6"/>
  <c r="A42" i="7"/>
  <c r="T21" i="7"/>
  <c r="T21" i="6"/>
  <c r="J48" i="6"/>
  <c r="J48" i="7"/>
  <c r="Q48" i="7"/>
  <c r="Q48" i="6"/>
  <c r="Q46" i="7"/>
  <c r="Q46" i="6"/>
  <c r="F68" i="6"/>
  <c r="F68" i="7"/>
  <c r="H68" i="7"/>
  <c r="H68" i="6"/>
  <c r="N68" i="7"/>
  <c r="N68" i="6"/>
  <c r="G36" i="7"/>
  <c r="G36" i="6"/>
  <c r="J36" i="7"/>
  <c r="J36" i="6"/>
  <c r="O36" i="7"/>
  <c r="O36" i="6"/>
  <c r="K28" i="7"/>
  <c r="K28" i="6"/>
  <c r="A28" i="6"/>
  <c r="A28" i="7"/>
  <c r="E28" i="7"/>
  <c r="N28" i="7"/>
  <c r="N28" i="6"/>
  <c r="N26" i="6"/>
  <c r="N26" i="7"/>
  <c r="J52" i="7"/>
  <c r="J52" i="6"/>
  <c r="F52" i="7"/>
  <c r="F52" i="6"/>
  <c r="G52" i="6"/>
  <c r="G52" i="7"/>
  <c r="A17" i="7"/>
  <c r="E17" i="7"/>
  <c r="A17" i="6"/>
  <c r="T17" i="7"/>
  <c r="T17" i="6"/>
  <c r="H17" i="7"/>
  <c r="H17" i="6"/>
  <c r="R17" i="7"/>
  <c r="R17" i="6"/>
  <c r="A31" i="6"/>
  <c r="A31" i="7"/>
  <c r="E31" i="7"/>
  <c r="P31" i="6"/>
  <c r="P31" i="7"/>
  <c r="R31" i="6"/>
  <c r="R31" i="7"/>
  <c r="EW28" i="1"/>
  <c r="EW39" i="1"/>
  <c r="EX4" i="1"/>
  <c r="E14" i="6"/>
  <c r="DN64" i="1"/>
  <c r="DO73" i="1"/>
  <c r="CV64" i="1"/>
  <c r="C85" i="1"/>
  <c r="E85" i="1"/>
  <c r="EF64" i="1"/>
  <c r="EG73" i="1"/>
  <c r="BU64" i="1"/>
  <c r="C82" i="1"/>
  <c r="E82" i="1"/>
  <c r="E26" i="7"/>
  <c r="EX9" i="1"/>
  <c r="E19" i="6"/>
  <c r="EX41" i="1"/>
  <c r="E180" i="1"/>
  <c r="EW41" i="1"/>
  <c r="E62" i="7"/>
  <c r="EW32" i="1"/>
  <c r="EW12" i="1"/>
  <c r="EX12" i="1"/>
  <c r="E151" i="1"/>
  <c r="EW61" i="1"/>
  <c r="EX58" i="1"/>
  <c r="EW56" i="1"/>
  <c r="EW45" i="1"/>
  <c r="EX45" i="1"/>
  <c r="E55" i="6"/>
  <c r="EW6" i="1"/>
  <c r="EW53" i="1"/>
  <c r="EX31" i="1"/>
  <c r="E41" i="6"/>
  <c r="T24" i="6"/>
  <c r="T24" i="7"/>
  <c r="T34" i="6"/>
  <c r="T34" i="7"/>
  <c r="T42" i="7"/>
  <c r="T42" i="6"/>
  <c r="R66" i="7"/>
  <c r="R66" i="6"/>
  <c r="R72" i="7"/>
  <c r="R72" i="6"/>
  <c r="EX6" i="1"/>
  <c r="E16" i="6"/>
  <c r="BL64" i="1"/>
  <c r="BM73" i="1"/>
  <c r="EX60" i="1"/>
  <c r="E199" i="1"/>
  <c r="R46" i="7"/>
  <c r="R46" i="6"/>
  <c r="Q24" i="7"/>
  <c r="Q24" i="6"/>
  <c r="R24" i="7"/>
  <c r="R24" i="6"/>
  <c r="S20" i="6"/>
  <c r="S20" i="7"/>
  <c r="T66" i="7"/>
  <c r="T66" i="6"/>
  <c r="R42" i="6"/>
  <c r="R42" i="7"/>
  <c r="R165" i="1"/>
  <c r="EX26" i="1"/>
  <c r="EW26" i="1"/>
  <c r="EW4" i="1"/>
  <c r="EX56" i="1"/>
  <c r="T36" i="7"/>
  <c r="T36" i="6"/>
  <c r="EX32" i="1"/>
  <c r="R173" i="1"/>
  <c r="EW34" i="1"/>
  <c r="EX34" i="1"/>
  <c r="S38" i="7"/>
  <c r="S38" i="6"/>
  <c r="EX28" i="1"/>
  <c r="EW14" i="1"/>
  <c r="S68" i="7"/>
  <c r="S68" i="6"/>
  <c r="I24" i="6"/>
  <c r="I24" i="7"/>
  <c r="G24" i="7"/>
  <c r="G24" i="6"/>
  <c r="R149" i="1"/>
  <c r="EX10" i="1"/>
  <c r="EW10" i="1"/>
  <c r="R163" i="1"/>
  <c r="EX24" i="1"/>
  <c r="EW24" i="1"/>
  <c r="T20" i="6"/>
  <c r="T20" i="7"/>
  <c r="EW58" i="1"/>
  <c r="E201" i="1"/>
  <c r="E72" i="6"/>
  <c r="CD64" i="1"/>
  <c r="CE73" i="1"/>
  <c r="EX14" i="1"/>
  <c r="E24" i="7"/>
  <c r="O24" i="6"/>
  <c r="O24" i="7"/>
  <c r="S36" i="7"/>
  <c r="S36" i="6"/>
  <c r="T14" i="7"/>
  <c r="T14" i="6"/>
  <c r="S34" i="6"/>
  <c r="S34" i="7"/>
  <c r="R52" i="7"/>
  <c r="R52" i="6"/>
  <c r="R32" i="7"/>
  <c r="R32" i="6"/>
  <c r="T27" i="7"/>
  <c r="T27" i="6"/>
  <c r="H18" i="7"/>
  <c r="H18" i="6"/>
  <c r="O53" i="6"/>
  <c r="O53" i="7"/>
  <c r="G49" i="6"/>
  <c r="G49" i="7"/>
  <c r="P55" i="6"/>
  <c r="P55" i="7"/>
  <c r="EX59" i="1"/>
  <c r="L69" i="7"/>
  <c r="L69" i="6"/>
  <c r="J22" i="7"/>
  <c r="J22" i="6"/>
  <c r="K22" i="7"/>
  <c r="K22" i="6"/>
  <c r="F55" i="7"/>
  <c r="F55" i="6"/>
  <c r="I51" i="7"/>
  <c r="I51" i="6"/>
  <c r="L27" i="6"/>
  <c r="L27" i="7"/>
  <c r="P27" i="7"/>
  <c r="P27" i="6"/>
  <c r="F18" i="7"/>
  <c r="F18" i="6"/>
  <c r="EX39" i="1"/>
  <c r="J49" i="7"/>
  <c r="J49" i="6"/>
  <c r="N55" i="7"/>
  <c r="N55" i="6"/>
  <c r="K55" i="7"/>
  <c r="K55" i="6"/>
  <c r="T55" i="7"/>
  <c r="T55" i="6"/>
  <c r="P69" i="6"/>
  <c r="P69" i="7"/>
  <c r="I69" i="7"/>
  <c r="I69" i="6"/>
  <c r="G69" i="7"/>
  <c r="G69" i="6"/>
  <c r="E43" i="6"/>
  <c r="E172" i="1"/>
  <c r="I35" i="7"/>
  <c r="I35" i="6"/>
  <c r="E150" i="1"/>
  <c r="E21" i="6"/>
  <c r="H22" i="7"/>
  <c r="H22" i="6"/>
  <c r="R22" i="7"/>
  <c r="R22" i="6"/>
  <c r="P22" i="7"/>
  <c r="P22" i="6"/>
  <c r="N22" i="7"/>
  <c r="N22" i="6"/>
  <c r="K18" i="7"/>
  <c r="K18" i="6"/>
  <c r="EW9" i="1"/>
  <c r="A19" i="6"/>
  <c r="A19" i="7"/>
  <c r="E19" i="7"/>
  <c r="G19" i="6"/>
  <c r="G19" i="7"/>
  <c r="L19" i="7"/>
  <c r="L19" i="6"/>
  <c r="H60" i="7"/>
  <c r="H60" i="6"/>
  <c r="P60" i="7"/>
  <c r="P60" i="6"/>
  <c r="J60" i="7"/>
  <c r="J60" i="6"/>
  <c r="S60" i="6"/>
  <c r="S60" i="7"/>
  <c r="EW51" i="1"/>
  <c r="N61" i="6"/>
  <c r="N61" i="7"/>
  <c r="S61" i="6"/>
  <c r="S61" i="7"/>
  <c r="H61" i="7"/>
  <c r="H61" i="6"/>
  <c r="AK64" i="1"/>
  <c r="B78" i="1"/>
  <c r="EW40" i="1"/>
  <c r="S50" i="7"/>
  <c r="S50" i="6"/>
  <c r="K50" i="7"/>
  <c r="K50" i="6"/>
  <c r="N50" i="7"/>
  <c r="N50" i="6"/>
  <c r="O145" i="1"/>
  <c r="G16" i="7"/>
  <c r="G16" i="6"/>
  <c r="S145" i="1"/>
  <c r="EX53" i="1"/>
  <c r="I63" i="7"/>
  <c r="I63" i="6"/>
  <c r="G63" i="6"/>
  <c r="G63" i="7"/>
  <c r="O63" i="7"/>
  <c r="O63" i="6"/>
  <c r="EX20" i="1"/>
  <c r="K30" i="6"/>
  <c r="K30" i="7"/>
  <c r="F30" i="7"/>
  <c r="F30" i="6"/>
  <c r="T30" i="6"/>
  <c r="T30" i="7"/>
  <c r="J71" i="7"/>
  <c r="J71" i="6"/>
  <c r="EW25" i="1"/>
  <c r="H35" i="6"/>
  <c r="H35" i="7"/>
  <c r="G35" i="6"/>
  <c r="G35" i="7"/>
  <c r="P35" i="6"/>
  <c r="P35" i="7"/>
  <c r="AB64" i="1"/>
  <c r="S31" i="7"/>
  <c r="S31" i="6"/>
  <c r="L41" i="7"/>
  <c r="L41" i="6"/>
  <c r="EW60" i="1"/>
  <c r="S70" i="6"/>
  <c r="S70" i="7"/>
  <c r="F70" i="7"/>
  <c r="F70" i="6"/>
  <c r="G70" i="6"/>
  <c r="G70" i="7"/>
  <c r="Q58" i="6"/>
  <c r="I58" i="7"/>
  <c r="I58" i="6"/>
  <c r="L58" i="7"/>
  <c r="L58" i="6"/>
  <c r="H49" i="7"/>
  <c r="H49" i="6"/>
  <c r="S41" i="7"/>
  <c r="S41" i="6"/>
  <c r="N41" i="7"/>
  <c r="N41" i="6"/>
  <c r="O41" i="7"/>
  <c r="O41" i="6"/>
  <c r="S54" i="7"/>
  <c r="S54" i="6"/>
  <c r="G54" i="6"/>
  <c r="G54" i="7"/>
  <c r="P54" i="7"/>
  <c r="P54" i="6"/>
  <c r="EX44" i="1"/>
  <c r="T54" i="6"/>
  <c r="T54" i="7"/>
  <c r="Q51" i="7"/>
  <c r="Q51" i="6"/>
  <c r="H51" i="6"/>
  <c r="H51" i="7"/>
  <c r="G51" i="7"/>
  <c r="G51" i="6"/>
  <c r="O51" i="7"/>
  <c r="O51" i="6"/>
  <c r="O33" i="7"/>
  <c r="O33" i="6"/>
  <c r="T33" i="6"/>
  <c r="T33" i="7"/>
  <c r="R33" i="7"/>
  <c r="R33" i="6"/>
  <c r="BC64" i="1"/>
  <c r="B80" i="1"/>
  <c r="I71" i="7"/>
  <c r="I71" i="6"/>
  <c r="N71" i="7"/>
  <c r="N71" i="6"/>
  <c r="G71" i="7"/>
  <c r="G71" i="6"/>
  <c r="T71" i="6"/>
  <c r="T71" i="7"/>
  <c r="R67" i="7"/>
  <c r="R67" i="6"/>
  <c r="EW57" i="1"/>
  <c r="F67" i="6"/>
  <c r="F67" i="7"/>
  <c r="O67" i="7"/>
  <c r="O67" i="6"/>
  <c r="EW30" i="1"/>
  <c r="F40" i="7"/>
  <c r="F40" i="6"/>
  <c r="K40" i="7"/>
  <c r="K40" i="6"/>
  <c r="N40" i="7"/>
  <c r="N40" i="6"/>
  <c r="O27" i="6"/>
  <c r="O27" i="7"/>
  <c r="O18" i="7"/>
  <c r="O18" i="6"/>
  <c r="H55" i="7"/>
  <c r="H55" i="6"/>
  <c r="K69" i="7"/>
  <c r="K69" i="6"/>
  <c r="J64" i="1"/>
  <c r="K73" i="1"/>
  <c r="B75" i="1"/>
  <c r="J27" i="7"/>
  <c r="J27" i="6"/>
  <c r="I27" i="6"/>
  <c r="I27" i="7"/>
  <c r="EX8" i="1"/>
  <c r="R18" i="7"/>
  <c r="R18" i="6"/>
  <c r="A18" i="7"/>
  <c r="A18" i="6"/>
  <c r="Q49" i="7"/>
  <c r="Q49" i="6"/>
  <c r="I55" i="7"/>
  <c r="I55" i="6"/>
  <c r="G27" i="6"/>
  <c r="G27" i="7"/>
  <c r="K27" i="6"/>
  <c r="K27" i="7"/>
  <c r="S27" i="6"/>
  <c r="S27" i="7"/>
  <c r="A27" i="6"/>
  <c r="A27" i="7"/>
  <c r="E27" i="7"/>
  <c r="N18" i="6"/>
  <c r="N18" i="7"/>
  <c r="L18" i="6"/>
  <c r="L18" i="7"/>
  <c r="P18" i="6"/>
  <c r="P18" i="7"/>
  <c r="P49" i="7"/>
  <c r="P49" i="6"/>
  <c r="O49" i="7"/>
  <c r="O49" i="6"/>
  <c r="T49" i="7"/>
  <c r="T49" i="6"/>
  <c r="T28" i="6"/>
  <c r="T28" i="7"/>
  <c r="R55" i="7"/>
  <c r="R55" i="6"/>
  <c r="L55" i="7"/>
  <c r="L55" i="6"/>
  <c r="Q55" i="6"/>
  <c r="Q55" i="7"/>
  <c r="EW59" i="1"/>
  <c r="N69" i="7"/>
  <c r="N69" i="6"/>
  <c r="S69" i="7"/>
  <c r="S69" i="6"/>
  <c r="Q69" i="7"/>
  <c r="Q69" i="6"/>
  <c r="E26" i="6"/>
  <c r="S22" i="7"/>
  <c r="S22" i="6"/>
  <c r="G22" i="6"/>
  <c r="G22" i="7"/>
  <c r="A22" i="7"/>
  <c r="A22" i="6"/>
  <c r="Q22" i="6"/>
  <c r="Q22" i="7"/>
  <c r="O19" i="7"/>
  <c r="O19" i="6"/>
  <c r="I19" i="7"/>
  <c r="I19" i="6"/>
  <c r="T19" i="7"/>
  <c r="T19" i="6"/>
  <c r="Q19" i="6"/>
  <c r="Q19" i="7"/>
  <c r="N56" i="6"/>
  <c r="N56" i="7"/>
  <c r="EW50" i="1"/>
  <c r="Q60" i="7"/>
  <c r="Q60" i="6"/>
  <c r="R60" i="7"/>
  <c r="R60" i="6"/>
  <c r="A60" i="7"/>
  <c r="A60" i="6"/>
  <c r="E166" i="1"/>
  <c r="K70" i="7"/>
  <c r="K70" i="6"/>
  <c r="O61" i="7"/>
  <c r="O61" i="6"/>
  <c r="T61" i="6"/>
  <c r="T61" i="7"/>
  <c r="A61" i="7"/>
  <c r="E61" i="7"/>
  <c r="A61" i="6"/>
  <c r="J61" i="7"/>
  <c r="J61" i="6"/>
  <c r="P50" i="7"/>
  <c r="P50" i="6"/>
  <c r="EX40" i="1"/>
  <c r="E179" i="1"/>
  <c r="Q50" i="6"/>
  <c r="Q50" i="7"/>
  <c r="F50" i="7"/>
  <c r="F50" i="6"/>
  <c r="J35" i="7"/>
  <c r="J35" i="6"/>
  <c r="G33" i="6"/>
  <c r="G33" i="7"/>
  <c r="Q145" i="1"/>
  <c r="I16" i="7"/>
  <c r="I16" i="6"/>
  <c r="J16" i="6"/>
  <c r="J16" i="7"/>
  <c r="N145" i="1"/>
  <c r="H63" i="7"/>
  <c r="H63" i="6"/>
  <c r="N63" i="7"/>
  <c r="N63" i="6"/>
  <c r="K63" i="7"/>
  <c r="K63" i="6"/>
  <c r="A63" i="7"/>
  <c r="E63" i="7"/>
  <c r="A63" i="6"/>
  <c r="EW20" i="1"/>
  <c r="R30" i="7"/>
  <c r="R30" i="6"/>
  <c r="S30" i="6"/>
  <c r="S30" i="7"/>
  <c r="P30" i="7"/>
  <c r="P30" i="6"/>
  <c r="F49" i="7"/>
  <c r="F49" i="6"/>
  <c r="EX25" i="1"/>
  <c r="L35" i="6"/>
  <c r="L35" i="7"/>
  <c r="K35" i="6"/>
  <c r="K35" i="7"/>
  <c r="A35" i="7"/>
  <c r="E35" i="7"/>
  <c r="A35" i="6"/>
  <c r="F33" i="7"/>
  <c r="F33" i="6"/>
  <c r="Q70" i="7"/>
  <c r="Q70" i="6"/>
  <c r="I70" i="7"/>
  <c r="I70" i="6"/>
  <c r="R70" i="7"/>
  <c r="R70" i="6"/>
  <c r="P70" i="7"/>
  <c r="P70" i="6"/>
  <c r="A58" i="6"/>
  <c r="A58" i="7"/>
  <c r="F58" i="6"/>
  <c r="F58" i="7"/>
  <c r="J58" i="6"/>
  <c r="J58" i="7"/>
  <c r="A41" i="7"/>
  <c r="E41" i="7"/>
  <c r="A41" i="6"/>
  <c r="J41" i="7"/>
  <c r="J41" i="6"/>
  <c r="Q41" i="7"/>
  <c r="Q41" i="6"/>
  <c r="EW44" i="1"/>
  <c r="H54" i="6"/>
  <c r="H54" i="7"/>
  <c r="Q54" i="6"/>
  <c r="Q54" i="7"/>
  <c r="O54" i="6"/>
  <c r="O54" i="7"/>
  <c r="N51" i="7"/>
  <c r="N51" i="6"/>
  <c r="L51" i="6"/>
  <c r="L51" i="7"/>
  <c r="K51" i="7"/>
  <c r="K51" i="6"/>
  <c r="S51" i="7"/>
  <c r="S51" i="6"/>
  <c r="P33" i="6"/>
  <c r="P33" i="7"/>
  <c r="H33" i="7"/>
  <c r="H33" i="6"/>
  <c r="EX23" i="1"/>
  <c r="EX61" i="1"/>
  <c r="H71" i="7"/>
  <c r="H71" i="6"/>
  <c r="K71" i="6"/>
  <c r="K71" i="7"/>
  <c r="A71" i="6"/>
  <c r="A71" i="7"/>
  <c r="E71" i="7"/>
  <c r="I67" i="7"/>
  <c r="I67" i="6"/>
  <c r="H67" i="7"/>
  <c r="H67" i="6"/>
  <c r="G67" i="7"/>
  <c r="G67" i="6"/>
  <c r="J67" i="7"/>
  <c r="J67" i="6"/>
  <c r="S67" i="7"/>
  <c r="S67" i="6"/>
  <c r="EX30" i="1"/>
  <c r="T40" i="7"/>
  <c r="T40" i="6"/>
  <c r="O40" i="7"/>
  <c r="O40" i="6"/>
  <c r="S40" i="7"/>
  <c r="S40" i="6"/>
  <c r="N59" i="7"/>
  <c r="N59" i="6"/>
  <c r="EX17" i="1"/>
  <c r="Q18" i="7"/>
  <c r="Q18" i="6"/>
  <c r="N49" i="6"/>
  <c r="N49" i="7"/>
  <c r="H69" i="7"/>
  <c r="H69" i="6"/>
  <c r="E188" i="1"/>
  <c r="EW17" i="1"/>
  <c r="N27" i="6"/>
  <c r="N27" i="7"/>
  <c r="R27" i="6"/>
  <c r="R27" i="7"/>
  <c r="H27" i="6"/>
  <c r="H27" i="7"/>
  <c r="EW8" i="1"/>
  <c r="G18" i="7"/>
  <c r="G18" i="6"/>
  <c r="S18" i="7"/>
  <c r="S18" i="6"/>
  <c r="T18" i="7"/>
  <c r="T18" i="6"/>
  <c r="E182" i="1"/>
  <c r="S49" i="7"/>
  <c r="S49" i="6"/>
  <c r="R49" i="7"/>
  <c r="R49" i="6"/>
  <c r="A49" i="7"/>
  <c r="E49" i="7"/>
  <c r="A49" i="6"/>
  <c r="E157" i="1"/>
  <c r="S55" i="7"/>
  <c r="S55" i="6"/>
  <c r="O55" i="7"/>
  <c r="O55" i="6"/>
  <c r="A55" i="7"/>
  <c r="E55" i="7"/>
  <c r="A55" i="6"/>
  <c r="N62" i="7"/>
  <c r="N62" i="6"/>
  <c r="O69" i="6"/>
  <c r="O69" i="7"/>
  <c r="T69" i="6"/>
  <c r="T69" i="7"/>
  <c r="A69" i="7"/>
  <c r="E69" i="7"/>
  <c r="A69" i="6"/>
  <c r="F69" i="7"/>
  <c r="F69" i="6"/>
  <c r="N38" i="7"/>
  <c r="N38" i="6"/>
  <c r="N21" i="7"/>
  <c r="N21" i="6"/>
  <c r="F22" i="7"/>
  <c r="F22" i="6"/>
  <c r="I22" i="6"/>
  <c r="I22" i="7"/>
  <c r="O22" i="7"/>
  <c r="O22" i="6"/>
  <c r="T22" i="7"/>
  <c r="T22" i="6"/>
  <c r="P19" i="6"/>
  <c r="P19" i="7"/>
  <c r="N19" i="6"/>
  <c r="N19" i="7"/>
  <c r="S19" i="6"/>
  <c r="S19" i="7"/>
  <c r="K19" i="7"/>
  <c r="K19" i="6"/>
  <c r="F71" i="7"/>
  <c r="F71" i="6"/>
  <c r="F60" i="7"/>
  <c r="F60" i="6"/>
  <c r="EX50" i="1"/>
  <c r="I60" i="7"/>
  <c r="I60" i="6"/>
  <c r="N60" i="7"/>
  <c r="N60" i="6"/>
  <c r="O60" i="7"/>
  <c r="O60" i="6"/>
  <c r="H41" i="7"/>
  <c r="H41" i="6"/>
  <c r="EX51" i="1"/>
  <c r="R61" i="6"/>
  <c r="R61" i="7"/>
  <c r="K61" i="7"/>
  <c r="K61" i="6"/>
  <c r="Q61" i="6"/>
  <c r="Q61" i="7"/>
  <c r="O50" i="7"/>
  <c r="O50" i="6"/>
  <c r="A50" i="7"/>
  <c r="A50" i="6"/>
  <c r="G50" i="7"/>
  <c r="G50" i="6"/>
  <c r="H50" i="7"/>
  <c r="H50" i="6"/>
  <c r="F63" i="7"/>
  <c r="F63" i="6"/>
  <c r="N24" i="6"/>
  <c r="N24" i="7"/>
  <c r="J63" i="7"/>
  <c r="J63" i="6"/>
  <c r="H16" i="7"/>
  <c r="H16" i="6"/>
  <c r="F16" i="7"/>
  <c r="F16" i="6"/>
  <c r="T145" i="1"/>
  <c r="R145" i="1"/>
  <c r="L63" i="7"/>
  <c r="L63" i="6"/>
  <c r="Q63" i="7"/>
  <c r="Q63" i="6"/>
  <c r="P63" i="6"/>
  <c r="P63" i="7"/>
  <c r="G30" i="7"/>
  <c r="G30" i="6"/>
  <c r="H30" i="6"/>
  <c r="H30" i="7"/>
  <c r="N30" i="6"/>
  <c r="N30" i="7"/>
  <c r="O30" i="6"/>
  <c r="O30" i="7"/>
  <c r="N35" i="7"/>
  <c r="N35" i="6"/>
  <c r="O35" i="7"/>
  <c r="O35" i="6"/>
  <c r="Q35" i="6"/>
  <c r="Q35" i="7"/>
  <c r="E48" i="6"/>
  <c r="E177" i="1"/>
  <c r="O70" i="7"/>
  <c r="O70" i="6"/>
  <c r="J70" i="7"/>
  <c r="J70" i="6"/>
  <c r="T70" i="7"/>
  <c r="T70" i="6"/>
  <c r="P58" i="6"/>
  <c r="T58" i="7"/>
  <c r="S58" i="7"/>
  <c r="E57" i="6"/>
  <c r="E186" i="1"/>
  <c r="EW31" i="1"/>
  <c r="G41" i="6"/>
  <c r="G41" i="7"/>
  <c r="P41" i="7"/>
  <c r="P41" i="6"/>
  <c r="T41" i="6"/>
  <c r="T41" i="7"/>
  <c r="R54" i="7"/>
  <c r="R54" i="6"/>
  <c r="F54" i="6"/>
  <c r="F54" i="7"/>
  <c r="A54" i="7"/>
  <c r="A54" i="6"/>
  <c r="K54" i="6"/>
  <c r="K54" i="7"/>
  <c r="T51" i="7"/>
  <c r="T51" i="6"/>
  <c r="R51" i="7"/>
  <c r="R51" i="6"/>
  <c r="P51" i="7"/>
  <c r="P51" i="6"/>
  <c r="EW23" i="1"/>
  <c r="I33" i="7"/>
  <c r="I33" i="6"/>
  <c r="L33" i="7"/>
  <c r="L33" i="6"/>
  <c r="Q33" i="6"/>
  <c r="Q33" i="7"/>
  <c r="R71" i="7"/>
  <c r="R71" i="6"/>
  <c r="L71" i="7"/>
  <c r="L71" i="6"/>
  <c r="Q71" i="6"/>
  <c r="Q71" i="7"/>
  <c r="L67" i="7"/>
  <c r="L67" i="6"/>
  <c r="A67" i="7"/>
  <c r="E67" i="7"/>
  <c r="A67" i="6"/>
  <c r="K67" i="7"/>
  <c r="K67" i="6"/>
  <c r="P67" i="6"/>
  <c r="P67" i="7"/>
  <c r="Q40" i="7"/>
  <c r="Q40" i="6"/>
  <c r="A40" i="7"/>
  <c r="A40" i="6"/>
  <c r="G40" i="7"/>
  <c r="G40" i="6"/>
  <c r="R40" i="7"/>
  <c r="R40" i="6"/>
  <c r="Q27" i="6"/>
  <c r="Q27" i="7"/>
  <c r="I18" i="7"/>
  <c r="I18" i="6"/>
  <c r="R69" i="7"/>
  <c r="R69" i="6"/>
  <c r="L30" i="7"/>
  <c r="L30" i="6"/>
  <c r="F35" i="7"/>
  <c r="F35" i="6"/>
  <c r="I49" i="7"/>
  <c r="I49" i="6"/>
  <c r="J19" i="6"/>
  <c r="J19" i="7"/>
  <c r="R19" i="6"/>
  <c r="R19" i="7"/>
  <c r="H19" i="7"/>
  <c r="H19" i="6"/>
  <c r="G60" i="7"/>
  <c r="G60" i="6"/>
  <c r="K60" i="7"/>
  <c r="K60" i="6"/>
  <c r="L60" i="7"/>
  <c r="L60" i="6"/>
  <c r="T60" i="7"/>
  <c r="T60" i="6"/>
  <c r="R37" i="6"/>
  <c r="R37" i="7"/>
  <c r="N23" i="6"/>
  <c r="N23" i="7"/>
  <c r="P61" i="7"/>
  <c r="P61" i="6"/>
  <c r="I61" i="7"/>
  <c r="I61" i="6"/>
  <c r="F61" i="7"/>
  <c r="F61" i="6"/>
  <c r="AT64" i="1"/>
  <c r="B79" i="1"/>
  <c r="R50" i="7"/>
  <c r="R50" i="6"/>
  <c r="T50" i="6"/>
  <c r="T50" i="7"/>
  <c r="I50" i="7"/>
  <c r="I50" i="6"/>
  <c r="J50" i="7"/>
  <c r="J50" i="6"/>
  <c r="B84" i="1"/>
  <c r="CM64" i="1"/>
  <c r="K16" i="6"/>
  <c r="K16" i="7"/>
  <c r="P145" i="1"/>
  <c r="A16" i="6"/>
  <c r="A16" i="7"/>
  <c r="R63" i="7"/>
  <c r="R63" i="6"/>
  <c r="T63" i="7"/>
  <c r="T63" i="6"/>
  <c r="S63" i="7"/>
  <c r="S63" i="6"/>
  <c r="Q30" i="7"/>
  <c r="Q30" i="6"/>
  <c r="I30" i="7"/>
  <c r="I30" i="6"/>
  <c r="J30" i="6"/>
  <c r="J30" i="7"/>
  <c r="A30" i="7"/>
  <c r="A30" i="6"/>
  <c r="T35" i="7"/>
  <c r="T35" i="6"/>
  <c r="R35" i="7"/>
  <c r="R35" i="6"/>
  <c r="S35" i="6"/>
  <c r="S35" i="7"/>
  <c r="E31" i="6"/>
  <c r="A70" i="7"/>
  <c r="A70" i="6"/>
  <c r="N70" i="7"/>
  <c r="N70" i="6"/>
  <c r="H58" i="6"/>
  <c r="H58" i="7"/>
  <c r="G58" i="6"/>
  <c r="K58" i="7"/>
  <c r="K58" i="6"/>
  <c r="J40" i="7"/>
  <c r="J40" i="6"/>
  <c r="N57" i="7"/>
  <c r="N57" i="6"/>
  <c r="K41" i="6"/>
  <c r="K41" i="7"/>
  <c r="R41" i="6"/>
  <c r="R41" i="7"/>
  <c r="N54" i="6"/>
  <c r="N54" i="7"/>
  <c r="J54" i="7"/>
  <c r="J54" i="6"/>
  <c r="I54" i="6"/>
  <c r="I54" i="7"/>
  <c r="L54" i="7"/>
  <c r="L54" i="6"/>
  <c r="A51" i="7"/>
  <c r="E51" i="7"/>
  <c r="A51" i="6"/>
  <c r="J33" i="7"/>
  <c r="J33" i="6"/>
  <c r="S33" i="7"/>
  <c r="S33" i="6"/>
  <c r="N33" i="7"/>
  <c r="N33" i="6"/>
  <c r="A33" i="6"/>
  <c r="A33" i="7"/>
  <c r="E33" i="7"/>
  <c r="S71" i="7"/>
  <c r="S71" i="6"/>
  <c r="O71" i="7"/>
  <c r="O71" i="6"/>
  <c r="P71" i="6"/>
  <c r="P71" i="7"/>
  <c r="Q67" i="7"/>
  <c r="Q67" i="6"/>
  <c r="EX57" i="1"/>
  <c r="N67" i="7"/>
  <c r="N67" i="6"/>
  <c r="T67" i="7"/>
  <c r="T67" i="6"/>
  <c r="DW64" i="1"/>
  <c r="L40" i="6"/>
  <c r="L40" i="7"/>
  <c r="H40" i="7"/>
  <c r="H40" i="6"/>
  <c r="I40" i="7"/>
  <c r="I40" i="6"/>
  <c r="P40" i="6"/>
  <c r="P40" i="7"/>
  <c r="P64" i="6"/>
  <c r="S64" i="1"/>
  <c r="T73" i="1"/>
  <c r="E161" i="1"/>
  <c r="C86" i="1"/>
  <c r="E86" i="1"/>
  <c r="J24" i="6"/>
  <c r="J24" i="7"/>
  <c r="EV63" i="1"/>
  <c r="ER78" i="1"/>
  <c r="P24" i="7"/>
  <c r="P24" i="6"/>
  <c r="Q64" i="6"/>
  <c r="K24" i="6"/>
  <c r="K24" i="7"/>
  <c r="N58" i="6"/>
  <c r="B221" i="1"/>
  <c r="B220" i="1"/>
  <c r="E181" i="1"/>
  <c r="O64" i="6"/>
  <c r="E152" i="1"/>
  <c r="EQ63" i="1"/>
  <c r="ER73" i="1"/>
  <c r="EP63" i="1"/>
  <c r="ER72" i="1"/>
  <c r="EW36" i="1"/>
  <c r="R58" i="6"/>
  <c r="ET63" i="1"/>
  <c r="ER76" i="1"/>
  <c r="EW48" i="1"/>
  <c r="EX48" i="1"/>
  <c r="E58" i="6"/>
  <c r="E191" i="1"/>
  <c r="H46" i="6"/>
  <c r="EX54" i="1"/>
  <c r="E64" i="6"/>
  <c r="G46" i="6"/>
  <c r="G46" i="7"/>
  <c r="I46" i="7"/>
  <c r="I46" i="6"/>
  <c r="F46" i="6"/>
  <c r="F46" i="7"/>
  <c r="E170" i="1"/>
  <c r="O58" i="6"/>
  <c r="ER63" i="1"/>
  <c r="ER74" i="1"/>
  <c r="E22" i="6"/>
  <c r="ES63" i="1"/>
  <c r="ER75" i="1"/>
  <c r="E68" i="7"/>
  <c r="N175" i="1"/>
  <c r="EX36" i="1"/>
  <c r="K46" i="6"/>
  <c r="K46" i="7"/>
  <c r="R64" i="7"/>
  <c r="R64" i="6"/>
  <c r="T46" i="7"/>
  <c r="T46" i="6"/>
  <c r="J46" i="7"/>
  <c r="J46" i="6"/>
  <c r="S64" i="7"/>
  <c r="S64" i="6"/>
  <c r="T64" i="7"/>
  <c r="T64" i="6"/>
  <c r="E56" i="6"/>
  <c r="G64" i="6"/>
  <c r="G64" i="7"/>
  <c r="K64" i="6"/>
  <c r="K64" i="7"/>
  <c r="L64" i="7"/>
  <c r="L64" i="6"/>
  <c r="L70" i="7"/>
  <c r="L70" i="6"/>
  <c r="A64" i="6"/>
  <c r="A64" i="7"/>
  <c r="E64" i="7"/>
  <c r="I64" i="6"/>
  <c r="I64" i="7"/>
  <c r="EU63" i="1"/>
  <c r="ER77" i="1"/>
  <c r="J64" i="7"/>
  <c r="J64" i="6"/>
  <c r="EW54" i="1"/>
  <c r="N193" i="1"/>
  <c r="H70" i="7"/>
  <c r="H70" i="6"/>
  <c r="E14" i="7"/>
  <c r="E70" i="6"/>
  <c r="E22" i="7"/>
  <c r="E56" i="7"/>
  <c r="N25" i="6"/>
  <c r="N25" i="7"/>
  <c r="E158" i="1"/>
  <c r="E29" i="6"/>
  <c r="N17" i="7"/>
  <c r="N17" i="6"/>
  <c r="N15" i="6"/>
  <c r="N15" i="7"/>
  <c r="E193" i="1"/>
  <c r="N48" i="6"/>
  <c r="E153" i="1"/>
  <c r="E176" i="1"/>
  <c r="E47" i="6"/>
  <c r="N29" i="6"/>
  <c r="N29" i="7"/>
  <c r="N39" i="7"/>
  <c r="N39" i="6"/>
  <c r="E145" i="1"/>
  <c r="E38" i="7"/>
  <c r="N47" i="6"/>
  <c r="N47" i="7"/>
  <c r="E25" i="6"/>
  <c r="E154" i="1"/>
  <c r="N65" i="6"/>
  <c r="N65" i="7"/>
  <c r="E146" i="1"/>
  <c r="E17" i="6"/>
  <c r="E144" i="1"/>
  <c r="E15" i="6"/>
  <c r="E194" i="1"/>
  <c r="E65" i="6"/>
  <c r="E168" i="1"/>
  <c r="E39" i="6"/>
  <c r="E184" i="1"/>
  <c r="E51" i="6"/>
  <c r="E16" i="7"/>
  <c r="E148" i="1"/>
  <c r="E54" i="7"/>
  <c r="E143" i="1"/>
  <c r="E68" i="6"/>
  <c r="E24" i="6"/>
  <c r="E197" i="1"/>
  <c r="CW73" i="1"/>
  <c r="C87" i="1"/>
  <c r="E87" i="1"/>
  <c r="C89" i="1"/>
  <c r="E89" i="1"/>
  <c r="C81" i="1"/>
  <c r="E81" i="1"/>
  <c r="BV73" i="1"/>
  <c r="C83" i="1"/>
  <c r="E83" i="1"/>
  <c r="E70" i="7"/>
  <c r="E40" i="7"/>
  <c r="E167" i="1"/>
  <c r="E38" i="6"/>
  <c r="R36" i="7"/>
  <c r="R36" i="6"/>
  <c r="E58" i="7"/>
  <c r="R34" i="6"/>
  <c r="R34" i="7"/>
  <c r="E44" i="7"/>
  <c r="E44" i="6"/>
  <c r="E173" i="1"/>
  <c r="E30" i="7"/>
  <c r="E50" i="7"/>
  <c r="E60" i="7"/>
  <c r="E18" i="7"/>
  <c r="E149" i="1"/>
  <c r="E20" i="6"/>
  <c r="E20" i="7"/>
  <c r="R44" i="7"/>
  <c r="R44" i="6"/>
  <c r="E66" i="6"/>
  <c r="E195" i="1"/>
  <c r="E66" i="7"/>
  <c r="E163" i="1"/>
  <c r="E34" i="6"/>
  <c r="E34" i="7"/>
  <c r="R20" i="6"/>
  <c r="R20" i="7"/>
  <c r="E171" i="1"/>
  <c r="E42" i="6"/>
  <c r="E42" i="7"/>
  <c r="E165" i="1"/>
  <c r="E36" i="6"/>
  <c r="E36" i="7"/>
  <c r="DX73" i="1"/>
  <c r="C88" i="1"/>
  <c r="E88" i="1"/>
  <c r="C84" i="1"/>
  <c r="E84" i="1"/>
  <c r="CN73" i="1"/>
  <c r="T16" i="7"/>
  <c r="T16" i="6"/>
  <c r="E60" i="6"/>
  <c r="E189" i="1"/>
  <c r="E71" i="6"/>
  <c r="E200" i="1"/>
  <c r="C80" i="1"/>
  <c r="E80" i="1"/>
  <c r="BD73" i="1"/>
  <c r="AL73" i="1"/>
  <c r="C78" i="1"/>
  <c r="E78" i="1"/>
  <c r="C79" i="1"/>
  <c r="E79" i="1"/>
  <c r="AU73" i="1"/>
  <c r="E67" i="6"/>
  <c r="E196" i="1"/>
  <c r="E61" i="6"/>
  <c r="E190" i="1"/>
  <c r="E27" i="6"/>
  <c r="E156" i="1"/>
  <c r="E33" i="6"/>
  <c r="E162" i="1"/>
  <c r="N16" i="7"/>
  <c r="N16" i="6"/>
  <c r="C75" i="1"/>
  <c r="E75" i="1"/>
  <c r="E54" i="6"/>
  <c r="E183" i="1"/>
  <c r="E63" i="6"/>
  <c r="E192" i="1"/>
  <c r="R16" i="7"/>
  <c r="R16" i="6"/>
  <c r="E164" i="1"/>
  <c r="E35" i="6"/>
  <c r="E50" i="6"/>
  <c r="E187" i="1"/>
  <c r="AC73" i="1"/>
  <c r="C77" i="1"/>
  <c r="E77" i="1"/>
  <c r="E159" i="1"/>
  <c r="E30" i="6"/>
  <c r="E198" i="1"/>
  <c r="E69" i="6"/>
  <c r="P16" i="6"/>
  <c r="P16" i="7"/>
  <c r="E40" i="6"/>
  <c r="E169" i="1"/>
  <c r="Q16" i="7"/>
  <c r="Q16" i="6"/>
  <c r="E147" i="1"/>
  <c r="E18" i="6"/>
  <c r="S16" i="7"/>
  <c r="S16" i="6"/>
  <c r="O16" i="7"/>
  <c r="O16" i="6"/>
  <c r="E49" i="6"/>
  <c r="E178" i="1"/>
  <c r="C76" i="1"/>
  <c r="E76" i="1"/>
  <c r="N46" i="7"/>
  <c r="N46" i="6"/>
  <c r="E175" i="1"/>
  <c r="E46" i="6"/>
  <c r="N64" i="6"/>
  <c r="N64" i="7"/>
  <c r="E7" i="7"/>
  <c r="E9" i="7"/>
  <c r="E8" i="7"/>
  <c r="E10" i="7"/>
  <c r="E6" i="7"/>
  <c r="EN73" i="1"/>
  <c r="EO78" i="1"/>
  <c r="EO77" i="1"/>
  <c r="EO75" i="1"/>
  <c r="EO72" i="1"/>
  <c r="B90" i="1"/>
  <c r="EO76" i="1"/>
  <c r="EO74" i="1"/>
  <c r="EO73" i="1"/>
  <c r="C90" i="1"/>
  <c r="E90" i="1"/>
  <c r="ES74" i="1"/>
  <c r="ES73" i="1"/>
  <c r="ES78" i="1"/>
  <c r="ES76" i="1"/>
  <c r="ES77" i="1"/>
  <c r="ES72" i="1"/>
  <c r="ES75" i="1"/>
</calcChain>
</file>

<file path=xl/sharedStrings.xml><?xml version="1.0" encoding="utf-8"?>
<sst xmlns="http://schemas.openxmlformats.org/spreadsheetml/2006/main" count="334" uniqueCount="89">
  <si>
    <t>Gesamtabzug</t>
  </si>
  <si>
    <t>X</t>
  </si>
  <si>
    <t>~</t>
  </si>
  <si>
    <t>|</t>
  </si>
  <si>
    <t>Datum</t>
  </si>
  <si>
    <t>Gesamt</t>
  </si>
  <si>
    <t>Gesamtpunkte</t>
  </si>
  <si>
    <t>Ergebnis</t>
  </si>
  <si>
    <t>Anzahl Wertrungen</t>
  </si>
  <si>
    <t>Durchschnitt</t>
  </si>
  <si>
    <t>Wettkampf 5</t>
  </si>
  <si>
    <t>Wettkampf 6</t>
  </si>
  <si>
    <t>Wettkampf 7</t>
  </si>
  <si>
    <t>Wettkampf 8</t>
  </si>
  <si>
    <t>Wettkampf 9</t>
  </si>
  <si>
    <t>Wettkampf 10</t>
  </si>
  <si>
    <t>i.P.</t>
  </si>
  <si>
    <t>Si.P.</t>
  </si>
  <si>
    <t>Afg.</t>
  </si>
  <si>
    <t>Wettkampf 11</t>
  </si>
  <si>
    <t>Wettkampf 12</t>
  </si>
  <si>
    <t>Wettkampf 13</t>
  </si>
  <si>
    <t>Wettkampf 14</t>
  </si>
  <si>
    <t>Wettkampf 15</t>
  </si>
  <si>
    <t>Durchschn. pro Wertung</t>
  </si>
  <si>
    <t>Aufg</t>
  </si>
  <si>
    <t>Ausg</t>
  </si>
  <si>
    <t>Abz</t>
  </si>
  <si>
    <t>x</t>
  </si>
  <si>
    <t>Wertungen</t>
  </si>
  <si>
    <t>Pkt.</t>
  </si>
  <si>
    <t>T</t>
  </si>
  <si>
    <t>Kampfg.</t>
  </si>
  <si>
    <t>Anz.</t>
  </si>
  <si>
    <t>&gt;0</t>
  </si>
  <si>
    <t>Übungsfilter</t>
  </si>
  <si>
    <t>Übung</t>
  </si>
  <si>
    <t>Abzug</t>
  </si>
  <si>
    <t>N</t>
  </si>
  <si>
    <t>Punkte</t>
  </si>
  <si>
    <t>Übung eingeben oder kopieren (mit Punktzahl)</t>
  </si>
  <si>
    <t>Wettkampf 4</t>
  </si>
  <si>
    <t>Wettkampf 3</t>
  </si>
  <si>
    <t>Wettkampf 2</t>
  </si>
  <si>
    <t>Zeit</t>
  </si>
  <si>
    <t>Leerzellen</t>
  </si>
  <si>
    <t>Erstellt von Bundestrainer Dieter Maute</t>
  </si>
  <si>
    <t>Datum:</t>
  </si>
  <si>
    <t>%</t>
  </si>
  <si>
    <t>Ausf.</t>
  </si>
  <si>
    <t>Bemerkungen</t>
  </si>
  <si>
    <t>S%</t>
  </si>
  <si>
    <t>S|</t>
  </si>
  <si>
    <t>Sx</t>
  </si>
  <si>
    <t>S0</t>
  </si>
  <si>
    <t>S~</t>
  </si>
  <si>
    <t>Sges.</t>
  </si>
  <si>
    <t>Erg.</t>
  </si>
  <si>
    <t>Wettkampf 1</t>
  </si>
  <si>
    <t>Übung 1</t>
  </si>
  <si>
    <t>Übung 2</t>
  </si>
  <si>
    <t>Übung 3</t>
  </si>
  <si>
    <t>Übung 4</t>
  </si>
  <si>
    <t>Übung 5</t>
  </si>
  <si>
    <t>Übung 6</t>
  </si>
  <si>
    <t>Übung 7</t>
  </si>
  <si>
    <t>Übung 8</t>
  </si>
  <si>
    <t>Übung 9</t>
  </si>
  <si>
    <t>Übung 10</t>
  </si>
  <si>
    <t>Übung 11</t>
  </si>
  <si>
    <t>Übung 12</t>
  </si>
  <si>
    <t>Übung 13</t>
  </si>
  <si>
    <t>Übung 14</t>
  </si>
  <si>
    <t>Übung 15</t>
  </si>
  <si>
    <t>Übung 16</t>
  </si>
  <si>
    <t>Übung 17</t>
  </si>
  <si>
    <t>Übung 18</t>
  </si>
  <si>
    <t>Übung 19</t>
  </si>
  <si>
    <t>Übung 20</t>
  </si>
  <si>
    <t>Übung 21</t>
  </si>
  <si>
    <t>Übung 22</t>
  </si>
  <si>
    <t>Übung 23</t>
  </si>
  <si>
    <t>Übung 24</t>
  </si>
  <si>
    <t>Übung 25</t>
  </si>
  <si>
    <t>Übung 26</t>
  </si>
  <si>
    <t>Übung 27</t>
  </si>
  <si>
    <t>Übung 28</t>
  </si>
  <si>
    <t>Übung 29</t>
  </si>
  <si>
    <t>Übung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</si>
</sst>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22" x14ac:knownFonts="1">
    <font>
      <sz val="10"/>
      <name val="Arial"/>
    </font>
    <font>
      <sz val="10"/>
      <name val="Arial"/>
    </font>
    <font>
      <sz val="1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4"/>
      <color indexed="9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4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9">
    <xf numFmtId="0" fontId="0" fillId="0" borderId="0" xfId="0"/>
    <xf numFmtId="0" fontId="1" fillId="0" borderId="0" xfId="0" applyFont="1"/>
    <xf numFmtId="166" fontId="1" fillId="0" borderId="0" xfId="0" applyNumberFormat="1" applyFont="1" applyAlignment="1">
      <alignment horizontal="right"/>
    </xf>
    <xf numFmtId="0" fontId="0" fillId="0" borderId="0" xfId="0" applyBorder="1"/>
    <xf numFmtId="0" fontId="4" fillId="0" borderId="0" xfId="0" applyFont="1" applyFill="1" applyBorder="1"/>
    <xf numFmtId="166" fontId="3" fillId="0" borderId="0" xfId="0" applyNumberFormat="1" applyFont="1" applyFill="1" applyBorder="1" applyAlignment="1"/>
    <xf numFmtId="0" fontId="9" fillId="0" borderId="0" xfId="0" applyFont="1"/>
    <xf numFmtId="166" fontId="9" fillId="0" borderId="0" xfId="0" applyNumberFormat="1" applyFont="1" applyAlignment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2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0" xfId="0" applyNumberFormat="1" applyBorder="1"/>
    <xf numFmtId="2" fontId="0" fillId="0" borderId="0" xfId="0" applyNumberFormat="1"/>
    <xf numFmtId="2" fontId="9" fillId="0" borderId="1" xfId="0" applyNumberFormat="1" applyFont="1" applyBorder="1"/>
    <xf numFmtId="2" fontId="9" fillId="0" borderId="0" xfId="0" applyNumberFormat="1" applyFont="1"/>
    <xf numFmtId="1" fontId="9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2" borderId="0" xfId="0" applyFont="1" applyFill="1"/>
    <xf numFmtId="166" fontId="1" fillId="2" borderId="0" xfId="0" applyNumberFormat="1" applyFont="1" applyFill="1" applyAlignment="1">
      <alignment horizontal="right"/>
    </xf>
    <xf numFmtId="1" fontId="1" fillId="2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1" fillId="2" borderId="2" xfId="0" applyFont="1" applyFill="1" applyBorder="1"/>
    <xf numFmtId="2" fontId="1" fillId="2" borderId="0" xfId="0" applyNumberFormat="1" applyFont="1" applyFill="1" applyBorder="1" applyAlignment="1">
      <alignment horizontal="left"/>
    </xf>
    <xf numFmtId="2" fontId="0" fillId="2" borderId="3" xfId="0" applyNumberFormat="1" applyFill="1" applyBorder="1" applyAlignment="1">
      <alignment horizontal="left"/>
    </xf>
    <xf numFmtId="0" fontId="1" fillId="2" borderId="4" xfId="0" applyFont="1" applyFill="1" applyBorder="1"/>
    <xf numFmtId="2" fontId="1" fillId="2" borderId="5" xfId="0" applyNumberFormat="1" applyFont="1" applyFill="1" applyBorder="1" applyAlignment="1">
      <alignment horizontal="left"/>
    </xf>
    <xf numFmtId="2" fontId="0" fillId="2" borderId="6" xfId="0" applyNumberFormat="1" applyFill="1" applyBorder="1" applyAlignment="1">
      <alignment horizontal="left"/>
    </xf>
    <xf numFmtId="0" fontId="10" fillId="0" borderId="7" xfId="0" applyFont="1" applyFill="1" applyBorder="1" applyAlignment="1" applyProtection="1">
      <alignment horizontal="left"/>
      <protection locked="0"/>
    </xf>
    <xf numFmtId="166" fontId="10" fillId="0" borderId="8" xfId="0" applyNumberFormat="1" applyFont="1" applyFill="1" applyBorder="1" applyAlignment="1" applyProtection="1">
      <alignment horizontal="right"/>
      <protection locked="0"/>
    </xf>
    <xf numFmtId="0" fontId="13" fillId="3" borderId="9" xfId="0" applyFont="1" applyFill="1" applyBorder="1"/>
    <xf numFmtId="2" fontId="13" fillId="3" borderId="10" xfId="0" applyNumberFormat="1" applyFont="1" applyFill="1" applyBorder="1" applyAlignment="1">
      <alignment horizontal="right"/>
    </xf>
    <xf numFmtId="2" fontId="13" fillId="3" borderId="10" xfId="0" applyNumberFormat="1" applyFont="1" applyFill="1" applyBorder="1" applyAlignment="1">
      <alignment horizontal="center"/>
    </xf>
    <xf numFmtId="0" fontId="0" fillId="0" borderId="0" xfId="0" applyFill="1"/>
    <xf numFmtId="2" fontId="0" fillId="0" borderId="0" xfId="0" applyNumberFormat="1" applyFill="1"/>
    <xf numFmtId="166" fontId="10" fillId="4" borderId="11" xfId="0" applyNumberFormat="1" applyFont="1" applyFill="1" applyBorder="1" applyAlignment="1" applyProtection="1">
      <alignment horizontal="center"/>
      <protection locked="0"/>
    </xf>
    <xf numFmtId="1" fontId="10" fillId="4" borderId="12" xfId="0" applyNumberFormat="1" applyFont="1" applyFill="1" applyBorder="1" applyAlignment="1" applyProtection="1">
      <alignment horizontal="center"/>
      <protection locked="0"/>
    </xf>
    <xf numFmtId="166" fontId="10" fillId="4" borderId="13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/>
    <xf numFmtId="0" fontId="0" fillId="0" borderId="14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0" fontId="0" fillId="2" borderId="17" xfId="0" applyFill="1" applyBorder="1" applyAlignment="1" applyProtection="1">
      <alignment horizontal="center"/>
      <protection locked="0"/>
    </xf>
    <xf numFmtId="166" fontId="10" fillId="4" borderId="18" xfId="0" applyNumberFormat="1" applyFont="1" applyFill="1" applyBorder="1" applyAlignment="1" applyProtection="1">
      <alignment horizontal="center"/>
      <protection locked="0"/>
    </xf>
    <xf numFmtId="9" fontId="0" fillId="4" borderId="19" xfId="0" applyNumberForma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2" fillId="4" borderId="25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1" fontId="2" fillId="4" borderId="28" xfId="0" applyNumberFormat="1" applyFont="1" applyFill="1" applyBorder="1" applyAlignment="1">
      <alignment horizontal="center" vertical="center"/>
    </xf>
    <xf numFmtId="1" fontId="2" fillId="4" borderId="29" xfId="0" applyNumberFormat="1" applyFont="1" applyFill="1" applyBorder="1" applyAlignment="1">
      <alignment horizontal="center" vertical="center"/>
    </xf>
    <xf numFmtId="1" fontId="3" fillId="0" borderId="30" xfId="0" applyNumberFormat="1" applyFont="1" applyFill="1" applyBorder="1" applyAlignment="1">
      <alignment horizontal="center"/>
    </xf>
    <xf numFmtId="2" fontId="0" fillId="0" borderId="31" xfId="0" applyNumberFormat="1" applyBorder="1"/>
    <xf numFmtId="2" fontId="0" fillId="0" borderId="32" xfId="0" applyNumberFormat="1" applyBorder="1"/>
    <xf numFmtId="1" fontId="9" fillId="0" borderId="4" xfId="0" applyNumberFormat="1" applyFont="1" applyBorder="1" applyAlignment="1">
      <alignment horizontal="right"/>
    </xf>
    <xf numFmtId="1" fontId="9" fillId="0" borderId="5" xfId="0" applyNumberFormat="1" applyFont="1" applyBorder="1" applyAlignment="1">
      <alignment horizontal="right"/>
    </xf>
    <xf numFmtId="0" fontId="9" fillId="0" borderId="5" xfId="0" applyFont="1" applyBorder="1" applyAlignment="1"/>
    <xf numFmtId="0" fontId="9" fillId="0" borderId="5" xfId="0" applyFont="1" applyBorder="1"/>
    <xf numFmtId="1" fontId="10" fillId="4" borderId="33" xfId="0" applyNumberFormat="1" applyFont="1" applyFill="1" applyBorder="1" applyAlignment="1" applyProtection="1">
      <alignment horizontal="center"/>
      <protection locked="0"/>
    </xf>
    <xf numFmtId="166" fontId="10" fillId="4" borderId="34" xfId="0" applyNumberFormat="1" applyFont="1" applyFill="1" applyBorder="1" applyAlignment="1" applyProtection="1">
      <alignment horizont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2" fontId="0" fillId="0" borderId="36" xfId="0" applyNumberFormat="1" applyFill="1" applyBorder="1" applyAlignment="1">
      <alignment horizontal="center"/>
    </xf>
    <xf numFmtId="1" fontId="2" fillId="4" borderId="37" xfId="0" applyNumberFormat="1" applyFont="1" applyFill="1" applyBorder="1" applyAlignment="1">
      <alignment horizontal="center" vertical="center"/>
    </xf>
    <xf numFmtId="1" fontId="2" fillId="4" borderId="38" xfId="0" applyNumberFormat="1" applyFont="1" applyFill="1" applyBorder="1" applyAlignment="1">
      <alignment horizontal="center" vertical="center"/>
    </xf>
    <xf numFmtId="2" fontId="0" fillId="0" borderId="39" xfId="0" applyNumberFormat="1" applyFill="1" applyBorder="1" applyAlignment="1">
      <alignment horizontal="center"/>
    </xf>
    <xf numFmtId="2" fontId="0" fillId="0" borderId="40" xfId="0" applyNumberFormat="1" applyFill="1" applyBorder="1" applyAlignment="1">
      <alignment horizontal="center"/>
    </xf>
    <xf numFmtId="2" fontId="0" fillId="0" borderId="41" xfId="0" applyNumberFormat="1" applyFill="1" applyBorder="1" applyAlignment="1">
      <alignment horizontal="center"/>
    </xf>
    <xf numFmtId="0" fontId="9" fillId="2" borderId="0" xfId="0" applyFont="1" applyFill="1" applyProtection="1"/>
    <xf numFmtId="166" fontId="9" fillId="2" borderId="0" xfId="0" applyNumberFormat="1" applyFont="1" applyFill="1" applyAlignment="1" applyProtection="1"/>
    <xf numFmtId="1" fontId="9" fillId="2" borderId="0" xfId="0" applyNumberFormat="1" applyFont="1" applyFill="1" applyAlignment="1" applyProtection="1">
      <alignment horizontal="center"/>
    </xf>
    <xf numFmtId="0" fontId="9" fillId="2" borderId="0" xfId="0" applyFont="1" applyFill="1" applyBorder="1" applyAlignment="1" applyProtection="1">
      <alignment horizontal="center"/>
    </xf>
    <xf numFmtId="2" fontId="9" fillId="2" borderId="0" xfId="0" applyNumberFormat="1" applyFont="1" applyFill="1" applyAlignment="1" applyProtection="1">
      <alignment horizontal="center"/>
    </xf>
    <xf numFmtId="0" fontId="9" fillId="2" borderId="0" xfId="0" applyFont="1" applyFill="1" applyBorder="1" applyProtection="1"/>
    <xf numFmtId="166" fontId="9" fillId="2" borderId="0" xfId="0" applyNumberFormat="1" applyFont="1" applyFill="1" applyAlignment="1" applyProtection="1">
      <alignment horizontal="center"/>
    </xf>
    <xf numFmtId="0" fontId="9" fillId="2" borderId="0" xfId="0" applyFont="1" applyFill="1" applyAlignment="1" applyProtection="1">
      <alignment horizontal="center"/>
    </xf>
    <xf numFmtId="0" fontId="12" fillId="2" borderId="0" xfId="0" applyFont="1" applyFill="1" applyBorder="1" applyAlignment="1" applyProtection="1">
      <alignment horizontal="center"/>
    </xf>
    <xf numFmtId="2" fontId="11" fillId="2" borderId="0" xfId="0" applyNumberFormat="1" applyFont="1" applyFill="1" applyBorder="1" applyProtection="1"/>
    <xf numFmtId="2" fontId="9" fillId="2" borderId="0" xfId="0" applyNumberFormat="1" applyFont="1" applyFill="1" applyProtection="1"/>
    <xf numFmtId="0" fontId="1" fillId="2" borderId="0" xfId="0" applyFont="1" applyFill="1" applyProtection="1"/>
    <xf numFmtId="166" fontId="1" fillId="2" borderId="0" xfId="0" applyNumberFormat="1" applyFont="1" applyFill="1" applyAlignment="1" applyProtection="1">
      <alignment horizontal="right"/>
    </xf>
    <xf numFmtId="1" fontId="1" fillId="2" borderId="0" xfId="0" applyNumberFormat="1" applyFont="1" applyFill="1" applyAlignment="1" applyProtection="1">
      <alignment horizontal="center"/>
    </xf>
    <xf numFmtId="0" fontId="0" fillId="2" borderId="0" xfId="0" applyFill="1" applyBorder="1" applyProtection="1"/>
    <xf numFmtId="0" fontId="0" fillId="2" borderId="0" xfId="0" applyFill="1" applyProtection="1"/>
    <xf numFmtId="0" fontId="9" fillId="2" borderId="42" xfId="0" applyFont="1" applyFill="1" applyBorder="1" applyProtection="1"/>
    <xf numFmtId="2" fontId="0" fillId="2" borderId="0" xfId="0" applyNumberFormat="1" applyFill="1" applyBorder="1" applyProtection="1"/>
    <xf numFmtId="0" fontId="1" fillId="2" borderId="30" xfId="0" applyFont="1" applyFill="1" applyBorder="1" applyProtection="1"/>
    <xf numFmtId="166" fontId="1" fillId="2" borderId="31" xfId="0" applyNumberFormat="1" applyFont="1" applyFill="1" applyBorder="1" applyAlignment="1" applyProtection="1">
      <alignment horizontal="center"/>
    </xf>
    <xf numFmtId="1" fontId="1" fillId="2" borderId="31" xfId="0" applyNumberFormat="1" applyFont="1" applyFill="1" applyBorder="1" applyAlignment="1" applyProtection="1">
      <alignment horizontal="center"/>
    </xf>
    <xf numFmtId="0" fontId="5" fillId="2" borderId="32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5" fillId="2" borderId="0" xfId="0" applyFont="1" applyFill="1" applyBorder="1" applyProtection="1"/>
    <xf numFmtId="2" fontId="0" fillId="2" borderId="0" xfId="0" applyNumberFormat="1" applyFill="1" applyBorder="1" applyAlignment="1" applyProtection="1">
      <alignment horizontal="center"/>
    </xf>
    <xf numFmtId="0" fontId="1" fillId="2" borderId="2" xfId="0" applyFont="1" applyFill="1" applyBorder="1" applyProtection="1"/>
    <xf numFmtId="2" fontId="1" fillId="2" borderId="0" xfId="0" applyNumberFormat="1" applyFont="1" applyFill="1" applyBorder="1" applyAlignment="1" applyProtection="1">
      <alignment horizontal="left"/>
    </xf>
    <xf numFmtId="2" fontId="0" fillId="2" borderId="3" xfId="0" applyNumberFormat="1" applyFill="1" applyBorder="1" applyAlignment="1" applyProtection="1">
      <alignment horizontal="left"/>
    </xf>
    <xf numFmtId="166" fontId="1" fillId="2" borderId="0" xfId="0" applyNumberFormat="1" applyFont="1" applyFill="1" applyAlignment="1" applyProtection="1"/>
    <xf numFmtId="2" fontId="0" fillId="2" borderId="0" xfId="0" applyNumberFormat="1" applyFill="1" applyProtection="1"/>
    <xf numFmtId="9" fontId="12" fillId="2" borderId="0" xfId="0" applyNumberFormat="1" applyFont="1" applyFill="1" applyBorder="1" applyAlignment="1" applyProtection="1">
      <alignment horizontal="center"/>
    </xf>
    <xf numFmtId="1" fontId="2" fillId="4" borderId="24" xfId="0" applyNumberFormat="1" applyFont="1" applyFill="1" applyBorder="1" applyAlignment="1">
      <alignment horizontal="center" vertical="center"/>
    </xf>
    <xf numFmtId="166" fontId="10" fillId="4" borderId="43" xfId="0" applyNumberFormat="1" applyFont="1" applyFill="1" applyBorder="1" applyAlignment="1" applyProtection="1">
      <alignment horizontal="center"/>
      <protection locked="0"/>
    </xf>
    <xf numFmtId="166" fontId="10" fillId="4" borderId="44" xfId="0" applyNumberFormat="1" applyFont="1" applyFill="1" applyBorder="1" applyAlignment="1" applyProtection="1">
      <alignment horizontal="center"/>
      <protection locked="0"/>
    </xf>
    <xf numFmtId="166" fontId="10" fillId="4" borderId="45" xfId="0" applyNumberFormat="1" applyFont="1" applyFill="1" applyBorder="1" applyAlignment="1" applyProtection="1">
      <alignment horizontal="center"/>
      <protection locked="0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4" borderId="46" xfId="0" applyNumberFormat="1" applyFill="1" applyBorder="1"/>
    <xf numFmtId="1" fontId="0" fillId="4" borderId="47" xfId="0" applyNumberFormat="1" applyFill="1" applyBorder="1"/>
    <xf numFmtId="0" fontId="0" fillId="2" borderId="48" xfId="0" applyFill="1" applyBorder="1" applyAlignment="1" applyProtection="1">
      <alignment horizontal="center"/>
      <protection locked="0"/>
    </xf>
    <xf numFmtId="0" fontId="0" fillId="2" borderId="49" xfId="0" applyFill="1" applyBorder="1" applyAlignment="1" applyProtection="1">
      <alignment horizontal="center"/>
      <protection locked="0"/>
    </xf>
    <xf numFmtId="0" fontId="0" fillId="2" borderId="50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1" fontId="2" fillId="5" borderId="13" xfId="0" applyNumberFormat="1" applyFont="1" applyFill="1" applyBorder="1" applyAlignment="1" applyProtection="1">
      <alignment horizontal="center" vertical="center"/>
      <protection locked="0"/>
    </xf>
    <xf numFmtId="0" fontId="10" fillId="0" borderId="5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" fontId="2" fillId="4" borderId="52" xfId="0" applyNumberFormat="1" applyFont="1" applyFill="1" applyBorder="1" applyAlignment="1" applyProtection="1">
      <alignment horizontal="center" vertical="center"/>
    </xf>
    <xf numFmtId="0" fontId="0" fillId="2" borderId="17" xfId="0" applyFill="1" applyBorder="1" applyProtection="1">
      <protection locked="0"/>
    </xf>
    <xf numFmtId="0" fontId="0" fillId="2" borderId="53" xfId="0" applyFill="1" applyBorder="1" applyProtection="1">
      <protection locked="0"/>
    </xf>
    <xf numFmtId="0" fontId="0" fillId="2" borderId="54" xfId="0" applyFill="1" applyBorder="1" applyProtection="1">
      <protection locked="0"/>
    </xf>
    <xf numFmtId="0" fontId="0" fillId="2" borderId="55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56" xfId="0" applyFill="1" applyBorder="1" applyProtection="1">
      <protection locked="0"/>
    </xf>
    <xf numFmtId="0" fontId="0" fillId="2" borderId="5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58" xfId="0" applyFill="1" applyBorder="1" applyProtection="1">
      <protection locked="0"/>
    </xf>
    <xf numFmtId="0" fontId="0" fillId="2" borderId="59" xfId="0" applyFill="1" applyBorder="1" applyProtection="1">
      <protection locked="0"/>
    </xf>
    <xf numFmtId="0" fontId="0" fillId="2" borderId="34" xfId="0" applyFill="1" applyBorder="1" applyProtection="1">
      <protection locked="0"/>
    </xf>
    <xf numFmtId="0" fontId="0" fillId="2" borderId="60" xfId="0" applyFill="1" applyBorder="1" applyProtection="1">
      <protection locked="0"/>
    </xf>
    <xf numFmtId="0" fontId="0" fillId="2" borderId="61" xfId="0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0" fillId="2" borderId="62" xfId="0" applyFill="1" applyBorder="1" applyProtection="1">
      <protection locked="0"/>
    </xf>
    <xf numFmtId="9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/>
    <xf numFmtId="166" fontId="1" fillId="0" borderId="0" xfId="0" applyNumberFormat="1" applyFont="1" applyFill="1" applyBorder="1" applyAlignment="1">
      <alignment horizontal="left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66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 applyBorder="1"/>
    <xf numFmtId="2" fontId="0" fillId="0" borderId="0" xfId="0" applyNumberFormat="1" applyFill="1" applyBorder="1"/>
    <xf numFmtId="1" fontId="10" fillId="4" borderId="63" xfId="0" applyNumberFormat="1" applyFont="1" applyFill="1" applyBorder="1" applyAlignment="1" applyProtection="1">
      <alignment horizontal="center"/>
    </xf>
    <xf numFmtId="1" fontId="10" fillId="4" borderId="64" xfId="0" applyNumberFormat="1" applyFont="1" applyFill="1" applyBorder="1" applyAlignment="1" applyProtection="1">
      <alignment horizontal="center"/>
    </xf>
    <xf numFmtId="0" fontId="15" fillId="0" borderId="0" xfId="0" applyFont="1" applyFill="1"/>
    <xf numFmtId="0" fontId="15" fillId="0" borderId="0" xfId="0" applyFont="1" applyFill="1" applyBorder="1"/>
    <xf numFmtId="166" fontId="15" fillId="0" borderId="0" xfId="0" applyNumberFormat="1" applyFont="1" applyFill="1" applyBorder="1" applyAlignment="1">
      <alignment horizontal="left"/>
    </xf>
    <xf numFmtId="1" fontId="15" fillId="0" borderId="0" xfId="0" applyNumberFormat="1" applyFont="1" applyFill="1" applyAlignment="1">
      <alignment horizontal="center"/>
    </xf>
    <xf numFmtId="0" fontId="15" fillId="0" borderId="0" xfId="0" applyFont="1" applyFill="1" applyBorder="1" applyProtection="1">
      <protection locked="0"/>
    </xf>
    <xf numFmtId="166" fontId="15" fillId="0" borderId="0" xfId="0" applyNumberFormat="1" applyFont="1" applyFill="1" applyAlignment="1">
      <alignment horizontal="center"/>
    </xf>
    <xf numFmtId="166" fontId="15" fillId="0" borderId="0" xfId="0" applyNumberFormat="1" applyFont="1" applyFill="1" applyBorder="1" applyAlignment="1">
      <alignment horizontal="right"/>
    </xf>
    <xf numFmtId="0" fontId="15" fillId="0" borderId="0" xfId="0" applyFont="1" applyFill="1" applyBorder="1" applyAlignment="1" applyProtection="1">
      <alignment horizontal="left"/>
      <protection locked="0"/>
    </xf>
    <xf numFmtId="2" fontId="15" fillId="0" borderId="0" xfId="0" applyNumberFormat="1" applyFont="1" applyFill="1"/>
    <xf numFmtId="1" fontId="15" fillId="0" borderId="0" xfId="0" applyNumberFormat="1" applyFont="1" applyFill="1" applyBorder="1" applyAlignment="1">
      <alignment horizontal="center"/>
    </xf>
    <xf numFmtId="166" fontId="15" fillId="0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9" fontId="1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/>
    <xf numFmtId="2" fontId="15" fillId="0" borderId="0" xfId="0" applyNumberFormat="1" applyFont="1" applyFill="1" applyBorder="1" applyAlignment="1" applyProtection="1">
      <alignment horizontal="center"/>
      <protection hidden="1"/>
    </xf>
    <xf numFmtId="1" fontId="15" fillId="0" borderId="0" xfId="0" applyNumberFormat="1" applyFont="1" applyFill="1" applyBorder="1" applyAlignment="1" applyProtection="1">
      <alignment horizontal="center"/>
      <protection hidden="1"/>
    </xf>
    <xf numFmtId="166" fontId="15" fillId="0" borderId="0" xfId="0" applyNumberFormat="1" applyFont="1" applyFill="1" applyBorder="1" applyAlignment="1" applyProtection="1">
      <alignment horizontal="right"/>
      <protection hidden="1"/>
    </xf>
    <xf numFmtId="1" fontId="15" fillId="0" borderId="0" xfId="0" applyNumberFormat="1" applyFont="1" applyFill="1" applyBorder="1"/>
    <xf numFmtId="2" fontId="15" fillId="0" borderId="0" xfId="0" applyNumberFormat="1" applyFont="1" applyFill="1" applyBorder="1" applyAlignment="1" applyProtection="1">
      <alignment horizontal="right"/>
      <protection hidden="1"/>
    </xf>
    <xf numFmtId="2" fontId="15" fillId="0" borderId="0" xfId="0" applyNumberFormat="1" applyFont="1" applyFill="1" applyBorder="1" applyProtection="1">
      <protection hidden="1"/>
    </xf>
    <xf numFmtId="1" fontId="1" fillId="0" borderId="0" xfId="0" applyNumberFormat="1" applyFont="1" applyAlignment="1">
      <alignment horizontal="right"/>
    </xf>
    <xf numFmtId="1" fontId="1" fillId="0" borderId="0" xfId="0" applyNumberFormat="1" applyFont="1" applyFill="1" applyBorder="1" applyAlignment="1">
      <alignment horizontal="right"/>
    </xf>
    <xf numFmtId="1" fontId="3" fillId="0" borderId="42" xfId="0" applyNumberFormat="1" applyFont="1" applyFill="1" applyBorder="1" applyAlignment="1" applyProtection="1">
      <alignment horizontal="center"/>
      <protection locked="0"/>
    </xf>
    <xf numFmtId="0" fontId="2" fillId="0" borderId="0" xfId="0" applyFont="1"/>
    <xf numFmtId="0" fontId="1" fillId="0" borderId="0" xfId="0" applyFont="1" applyAlignment="1"/>
    <xf numFmtId="0" fontId="5" fillId="0" borderId="20" xfId="0" applyFont="1" applyBorder="1"/>
    <xf numFmtId="0" fontId="0" fillId="0" borderId="28" xfId="0" applyBorder="1" applyAlignment="1">
      <alignment horizontal="center"/>
    </xf>
    <xf numFmtId="0" fontId="0" fillId="0" borderId="65" xfId="0" applyBorder="1" applyAlignment="1">
      <alignment horizontal="center"/>
    </xf>
    <xf numFmtId="0" fontId="5" fillId="0" borderId="66" xfId="0" applyFont="1" applyBorder="1"/>
    <xf numFmtId="0" fontId="5" fillId="0" borderId="37" xfId="0" applyFont="1" applyBorder="1"/>
    <xf numFmtId="0" fontId="0" fillId="0" borderId="6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8" xfId="0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1" fontId="0" fillId="0" borderId="0" xfId="0" applyNumberFormat="1"/>
    <xf numFmtId="0" fontId="10" fillId="0" borderId="70" xfId="0" applyFont="1" applyFill="1" applyBorder="1" applyAlignment="1">
      <alignment horizontal="left"/>
    </xf>
    <xf numFmtId="166" fontId="10" fillId="0" borderId="71" xfId="0" applyNumberFormat="1" applyFont="1" applyFill="1" applyBorder="1" applyAlignment="1">
      <alignment horizontal="right"/>
    </xf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10" fillId="0" borderId="7" xfId="0" applyFont="1" applyFill="1" applyBorder="1" applyAlignment="1">
      <alignment horizontal="left"/>
    </xf>
    <xf numFmtId="166" fontId="10" fillId="0" borderId="8" xfId="0" applyNumberFormat="1" applyFont="1" applyFill="1" applyBorder="1" applyAlignment="1">
      <alignment horizontal="right"/>
    </xf>
    <xf numFmtId="0" fontId="0" fillId="0" borderId="56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10" fillId="0" borderId="81" xfId="0" applyFont="1" applyFill="1" applyBorder="1" applyAlignment="1">
      <alignment horizontal="left"/>
    </xf>
    <xf numFmtId="166" fontId="10" fillId="0" borderId="82" xfId="0" applyNumberFormat="1" applyFont="1" applyFill="1" applyBorder="1" applyAlignment="1">
      <alignment horizontal="right"/>
    </xf>
    <xf numFmtId="0" fontId="0" fillId="0" borderId="7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/>
    <xf numFmtId="0" fontId="17" fillId="0" borderId="0" xfId="0" applyFont="1" applyFill="1" applyBorder="1"/>
    <xf numFmtId="0" fontId="17" fillId="0" borderId="0" xfId="0" applyFont="1" applyFill="1"/>
    <xf numFmtId="166" fontId="17" fillId="0" borderId="0" xfId="0" applyNumberFormat="1" applyFont="1" applyFill="1" applyBorder="1" applyAlignment="1">
      <alignment horizontal="left"/>
    </xf>
    <xf numFmtId="1" fontId="17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Protection="1">
      <protection locked="0"/>
    </xf>
    <xf numFmtId="166" fontId="17" fillId="0" borderId="0" xfId="0" applyNumberFormat="1" applyFont="1" applyFill="1" applyBorder="1" applyAlignment="1">
      <alignment horizontal="center"/>
    </xf>
    <xf numFmtId="166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9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Fill="1" applyBorder="1" applyAlignment="1" applyProtection="1">
      <alignment horizontal="left"/>
      <protection locked="0"/>
    </xf>
    <xf numFmtId="166" fontId="17" fillId="0" borderId="0" xfId="0" applyNumberFormat="1" applyFont="1" applyFill="1" applyAlignment="1">
      <alignment horizontal="center"/>
    </xf>
    <xf numFmtId="1" fontId="17" fillId="0" borderId="0" xfId="0" applyNumberFormat="1" applyFont="1" applyFill="1" applyAlignment="1">
      <alignment horizontal="center"/>
    </xf>
    <xf numFmtId="2" fontId="17" fillId="0" borderId="0" xfId="0" applyNumberFormat="1" applyFont="1" applyFill="1"/>
    <xf numFmtId="0" fontId="19" fillId="6" borderId="0" xfId="0" applyFont="1" applyFill="1"/>
    <xf numFmtId="166" fontId="19" fillId="6" borderId="0" xfId="0" applyNumberFormat="1" applyFont="1" applyFill="1" applyAlignment="1">
      <alignment horizontal="right"/>
    </xf>
    <xf numFmtId="1" fontId="19" fillId="6" borderId="0" xfId="0" applyNumberFormat="1" applyFont="1" applyFill="1" applyAlignment="1">
      <alignment horizontal="center"/>
    </xf>
    <xf numFmtId="2" fontId="19" fillId="6" borderId="0" xfId="0" applyNumberFormat="1" applyFont="1" applyFill="1"/>
    <xf numFmtId="0" fontId="20" fillId="6" borderId="0" xfId="0" applyFont="1" applyFill="1" applyAlignment="1">
      <alignment horizontal="left"/>
    </xf>
    <xf numFmtId="1" fontId="19" fillId="6" borderId="0" xfId="0" applyNumberFormat="1" applyFont="1" applyFill="1" applyAlignment="1" applyProtection="1">
      <alignment horizontal="center"/>
      <protection hidden="1"/>
    </xf>
    <xf numFmtId="0" fontId="19" fillId="6" borderId="0" xfId="0" applyFont="1" applyFill="1" applyProtection="1">
      <protection hidden="1"/>
    </xf>
    <xf numFmtId="0" fontId="19" fillId="6" borderId="0" xfId="0" applyFont="1" applyFill="1" applyBorder="1"/>
    <xf numFmtId="1" fontId="19" fillId="6" borderId="0" xfId="0" applyNumberFormat="1" applyFont="1" applyFill="1" applyBorder="1" applyAlignment="1" applyProtection="1">
      <alignment horizontal="center"/>
      <protection hidden="1"/>
    </xf>
    <xf numFmtId="166" fontId="19" fillId="6" borderId="0" xfId="0" applyNumberFormat="1" applyFont="1" applyFill="1" applyBorder="1" applyAlignment="1" applyProtection="1">
      <alignment horizontal="right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21" fillId="6" borderId="0" xfId="0" applyFont="1" applyFill="1" applyBorder="1" applyAlignment="1" applyProtection="1">
      <alignment horizontal="center" vertical="center"/>
      <protection hidden="1"/>
    </xf>
    <xf numFmtId="9" fontId="19" fillId="6" borderId="0" xfId="0" applyNumberFormat="1" applyFont="1" applyFill="1" applyBorder="1" applyAlignment="1" applyProtection="1">
      <alignment horizontal="center" vertical="center"/>
      <protection hidden="1"/>
    </xf>
    <xf numFmtId="2" fontId="19" fillId="6" borderId="0" xfId="0" applyNumberFormat="1" applyFont="1" applyFill="1" applyBorder="1"/>
    <xf numFmtId="1" fontId="19" fillId="6" borderId="0" xfId="0" applyNumberFormat="1" applyFont="1" applyFill="1" applyBorder="1"/>
    <xf numFmtId="2" fontId="19" fillId="6" borderId="0" xfId="0" applyNumberFormat="1" applyFont="1" applyFill="1" applyBorder="1" applyAlignment="1" applyProtection="1">
      <alignment horizontal="right"/>
      <protection hidden="1"/>
    </xf>
    <xf numFmtId="2" fontId="19" fillId="6" borderId="0" xfId="0" applyNumberFormat="1" applyFont="1" applyFill="1" applyBorder="1" applyAlignment="1" applyProtection="1">
      <alignment horizontal="center"/>
      <protection hidden="1"/>
    </xf>
    <xf numFmtId="2" fontId="19" fillId="6" borderId="0" xfId="0" applyNumberFormat="1" applyFont="1" applyFill="1" applyBorder="1" applyProtection="1">
      <protection hidden="1"/>
    </xf>
    <xf numFmtId="166" fontId="19" fillId="6" borderId="0" xfId="0" applyNumberFormat="1" applyFont="1" applyFill="1" applyBorder="1" applyAlignment="1">
      <alignment horizontal="left"/>
    </xf>
    <xf numFmtId="1" fontId="19" fillId="6" borderId="0" xfId="0" applyNumberFormat="1" applyFont="1" applyFill="1" applyBorder="1" applyAlignment="1">
      <alignment horizontal="center"/>
    </xf>
    <xf numFmtId="0" fontId="10" fillId="0" borderId="70" xfId="0" applyFont="1" applyBorder="1" applyAlignment="1" applyProtection="1">
      <alignment horizontal="left"/>
      <protection locked="0"/>
    </xf>
    <xf numFmtId="166" fontId="10" fillId="0" borderId="71" xfId="0" applyNumberFormat="1" applyFont="1" applyBorder="1" applyAlignment="1" applyProtection="1">
      <alignment horizontal="right"/>
      <protection locked="0"/>
    </xf>
    <xf numFmtId="0" fontId="10" fillId="0" borderId="86" xfId="0" applyFont="1" applyBorder="1" applyAlignment="1" applyProtection="1">
      <alignment horizontal="left"/>
      <protection locked="0"/>
    </xf>
    <xf numFmtId="166" fontId="10" fillId="0" borderId="87" xfId="0" applyNumberFormat="1" applyFont="1" applyBorder="1" applyAlignment="1" applyProtection="1">
      <alignment horizontal="right"/>
      <protection locked="0"/>
    </xf>
    <xf numFmtId="0" fontId="10" fillId="0" borderId="7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10" fillId="0" borderId="7" xfId="0" applyFont="1" applyBorder="1" applyAlignment="1" applyProtection="1">
      <alignment horizontal="left"/>
      <protection locked="0"/>
    </xf>
    <xf numFmtId="166" fontId="10" fillId="0" borderId="8" xfId="0" applyNumberFormat="1" applyFont="1" applyBorder="1" applyAlignment="1" applyProtection="1">
      <alignment horizontal="right"/>
      <protection locked="0"/>
    </xf>
    <xf numFmtId="0" fontId="10" fillId="0" borderId="8" xfId="0" applyFont="1" applyBorder="1" applyAlignment="1" applyProtection="1">
      <alignment horizontal="right"/>
      <protection locked="0"/>
    </xf>
    <xf numFmtId="166" fontId="10" fillId="0" borderId="8" xfId="0" applyNumberFormat="1" applyFont="1" applyBorder="1" applyProtection="1">
      <protection locked="0"/>
    </xf>
    <xf numFmtId="0" fontId="10" fillId="0" borderId="83" xfId="0" applyFont="1" applyBorder="1" applyAlignment="1" applyProtection="1">
      <alignment horizontal="left"/>
      <protection locked="0"/>
    </xf>
    <xf numFmtId="166" fontId="10" fillId="0" borderId="80" xfId="0" applyNumberFormat="1" applyFont="1" applyBorder="1" applyAlignment="1" applyProtection="1">
      <alignment horizontal="right"/>
      <protection locked="0"/>
    </xf>
    <xf numFmtId="0" fontId="10" fillId="0" borderId="81" xfId="0" applyFont="1" applyBorder="1" applyAlignment="1" applyProtection="1">
      <alignment horizontal="left"/>
      <protection locked="0"/>
    </xf>
    <xf numFmtId="166" fontId="10" fillId="0" borderId="82" xfId="0" applyNumberFormat="1" applyFont="1" applyBorder="1" applyAlignment="1" applyProtection="1">
      <alignment horizontal="right"/>
      <protection locked="0"/>
    </xf>
    <xf numFmtId="2" fontId="8" fillId="4" borderId="97" xfId="0" applyNumberFormat="1" applyFont="1" applyFill="1" applyBorder="1" applyAlignment="1">
      <alignment horizontal="center" vertical="center" wrapText="1"/>
    </xf>
    <xf numFmtId="2" fontId="8" fillId="4" borderId="98" xfId="0" applyNumberFormat="1" applyFont="1" applyFill="1" applyBorder="1" applyAlignment="1">
      <alignment horizontal="center" vertical="center" wrapText="1"/>
    </xf>
    <xf numFmtId="2" fontId="8" fillId="4" borderId="36" xfId="0" applyNumberFormat="1" applyFont="1" applyFill="1" applyBorder="1" applyAlignment="1">
      <alignment horizontal="center" vertical="center" wrapText="1"/>
    </xf>
    <xf numFmtId="2" fontId="8" fillId="4" borderId="99" xfId="0" applyNumberFormat="1" applyFont="1" applyFill="1" applyBorder="1" applyAlignment="1">
      <alignment horizontal="center" vertical="center"/>
    </xf>
    <xf numFmtId="2" fontId="8" fillId="4" borderId="1" xfId="0" applyNumberFormat="1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 applyProtection="1">
      <alignment horizontal="center" vertical="center"/>
    </xf>
    <xf numFmtId="1" fontId="2" fillId="4" borderId="90" xfId="0" applyNumberFormat="1" applyFont="1" applyFill="1" applyBorder="1" applyAlignment="1" applyProtection="1">
      <alignment horizontal="center" vertical="center"/>
    </xf>
    <xf numFmtId="0" fontId="0" fillId="3" borderId="74" xfId="0" applyFill="1" applyBorder="1" applyAlignment="1" applyProtection="1">
      <alignment horizontal="center" vertical="center"/>
      <protection locked="0"/>
    </xf>
    <xf numFmtId="0" fontId="0" fillId="3" borderId="90" xfId="0" applyFill="1" applyBorder="1" applyAlignment="1" applyProtection="1">
      <alignment horizontal="center" vertical="center"/>
      <protection locked="0"/>
    </xf>
    <xf numFmtId="14" fontId="0" fillId="3" borderId="79" xfId="0" applyNumberFormat="1" applyFill="1" applyBorder="1" applyAlignment="1" applyProtection="1">
      <alignment horizontal="center" vertical="center"/>
      <protection locked="0"/>
    </xf>
    <xf numFmtId="0" fontId="0" fillId="3" borderId="79" xfId="0" applyFill="1" applyBorder="1" applyAlignment="1" applyProtection="1">
      <alignment horizontal="center" vertical="center"/>
      <protection locked="0"/>
    </xf>
    <xf numFmtId="0" fontId="0" fillId="3" borderId="92" xfId="0" applyFill="1" applyBorder="1" applyAlignment="1" applyProtection="1">
      <alignment horizontal="center" vertical="center"/>
      <protection locked="0"/>
    </xf>
    <xf numFmtId="2" fontId="9" fillId="0" borderId="5" xfId="0" applyNumberFormat="1" applyFont="1" applyBorder="1" applyAlignment="1">
      <alignment horizontal="center"/>
    </xf>
    <xf numFmtId="2" fontId="9" fillId="0" borderId="6" xfId="0" applyNumberFormat="1" applyFont="1" applyBorder="1" applyAlignment="1">
      <alignment horizontal="center"/>
    </xf>
    <xf numFmtId="0" fontId="0" fillId="3" borderId="91" xfId="0" applyFill="1" applyBorder="1" applyAlignment="1" applyProtection="1">
      <alignment horizontal="center" vertical="center"/>
      <protection locked="0"/>
    </xf>
    <xf numFmtId="14" fontId="0" fillId="3" borderId="96" xfId="0" applyNumberFormat="1" applyFill="1" applyBorder="1" applyAlignment="1" applyProtection="1">
      <alignment horizontal="center" vertical="center"/>
      <protection locked="0"/>
    </xf>
    <xf numFmtId="0" fontId="6" fillId="4" borderId="39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4" borderId="33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4" fontId="0" fillId="3" borderId="93" xfId="0" applyNumberFormat="1" applyFill="1" applyBorder="1" applyAlignment="1" applyProtection="1">
      <alignment horizontal="center" vertical="center"/>
      <protection locked="0"/>
    </xf>
    <xf numFmtId="14" fontId="0" fillId="3" borderId="94" xfId="0" applyNumberFormat="1" applyFill="1" applyBorder="1" applyAlignment="1" applyProtection="1">
      <alignment horizontal="center" vertical="center"/>
      <protection locked="0"/>
    </xf>
    <xf numFmtId="14" fontId="0" fillId="3" borderId="95" xfId="0" applyNumberFormat="1" applyFill="1" applyBorder="1" applyAlignment="1" applyProtection="1">
      <alignment horizontal="center" vertical="center"/>
      <protection locked="0"/>
    </xf>
    <xf numFmtId="0" fontId="2" fillId="0" borderId="8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89" xfId="0" applyFont="1" applyBorder="1" applyAlignment="1" applyProtection="1">
      <alignment horizontal="center" vertical="center"/>
      <protection locked="0"/>
    </xf>
    <xf numFmtId="0" fontId="10" fillId="3" borderId="74" xfId="0" applyFont="1" applyFill="1" applyBorder="1" applyAlignment="1" applyProtection="1">
      <alignment horizontal="center" vertical="center"/>
      <protection locked="0"/>
    </xf>
    <xf numFmtId="0" fontId="10" fillId="3" borderId="91" xfId="0" applyFont="1" applyFill="1" applyBorder="1" applyAlignment="1" applyProtection="1">
      <alignment horizontal="center" vertical="center"/>
      <protection locked="0"/>
    </xf>
  </cellXfs>
  <cellStyles count="1">
    <cellStyle name="Standard" xfId="0" builtinId="0"/>
  </cellStyles>
  <dxfs count="29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none">
          <bgColor indexed="65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50"/>
        </patternFill>
      </fill>
    </dxf>
    <dxf>
      <fill>
        <patternFill>
          <bgColor indexed="43"/>
        </patternFill>
      </fill>
    </dxf>
    <dxf>
      <fill>
        <patternFill>
          <bgColor indexed="50"/>
        </patternFill>
      </fill>
    </dxf>
    <dxf>
      <font>
        <condense val="0"/>
        <extend val="0"/>
        <color indexed="8"/>
      </font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Wettkampfergebnisse</a:t>
            </a:r>
          </a:p>
        </c:rich>
      </c:tx>
      <c:layout>
        <c:manualLayout>
          <c:xMode val="edge"/>
          <c:yMode val="edge"/>
          <c:x val="0.32261792189868344"/>
          <c:y val="2.8862433151487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367438854091283E-2"/>
          <c:y val="0.21731766742299202"/>
          <c:w val="0.8886342524723807"/>
          <c:h val="0.56196990560164339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Programm!$C$74</c:f>
              <c:strCache>
                <c:ptCount val="1"/>
                <c:pt idx="0">
                  <c:v>Ausg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C5E2D4" mc:Ignorable="a14" a14:legacySpreadsheetColorIndex="57">
                    <a:gamma/>
                    <a:tint val="28235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339966" mc:Ignorable="a14" a14:legacySpreadsheetColorIndex="57"/>
                </a:gs>
                <a:gs pos="100000">
                  <a:srgbClr xmlns:mc="http://schemas.openxmlformats.org/markup-compatibility/2006" xmlns:a14="http://schemas.microsoft.com/office/drawing/2010/main" val="C5E2D4" mc:Ignorable="a14" a14:legacySpreadsheetColorIndex="57">
                    <a:gamma/>
                    <a:tint val="28235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Programm!$A$75:$A$90</c:f>
              <c:strCache>
                <c:ptCount val="16"/>
                <c:pt idx="0">
                  <c:v>Wettkampf 1</c:v>
                </c:pt>
                <c:pt idx="1">
                  <c:v>Wettkampf 2</c:v>
                </c:pt>
                <c:pt idx="2">
                  <c:v>Wettkampf 3</c:v>
                </c:pt>
                <c:pt idx="3">
                  <c:v>Wettkampf 4</c:v>
                </c:pt>
                <c:pt idx="4">
                  <c:v>Wettkampf 5</c:v>
                </c:pt>
                <c:pt idx="5">
                  <c:v>Wettkampf 6</c:v>
                </c:pt>
                <c:pt idx="6">
                  <c:v>Wettkampf 7</c:v>
                </c:pt>
                <c:pt idx="7">
                  <c:v>Wettkampf 8</c:v>
                </c:pt>
                <c:pt idx="8">
                  <c:v>Wettkampf 9</c:v>
                </c:pt>
                <c:pt idx="9">
                  <c:v>Wettkampf 10</c:v>
                </c:pt>
                <c:pt idx="10">
                  <c:v>Wettkampf 11</c:v>
                </c:pt>
                <c:pt idx="11">
                  <c:v>Wettkampf 12</c:v>
                </c:pt>
                <c:pt idx="12">
                  <c:v>Wettkampf 13</c:v>
                </c:pt>
                <c:pt idx="13">
                  <c:v>Wettkampf 14</c:v>
                </c:pt>
                <c:pt idx="14">
                  <c:v>Wettkampf 15</c:v>
                </c:pt>
                <c:pt idx="15">
                  <c:v>Durchschnitt</c:v>
                </c:pt>
              </c:strCache>
            </c:strRef>
          </c:cat>
          <c:val>
            <c:numRef>
              <c:f>Programm!$C$75:$C$90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C-4300-AA75-286CAD81153B}"/>
            </c:ext>
          </c:extLst>
        </c:ser>
        <c:ser>
          <c:idx val="1"/>
          <c:order val="2"/>
          <c:tx>
            <c:strRef>
              <c:f>Programm!$E$74</c:f>
              <c:strCache>
                <c:ptCount val="1"/>
                <c:pt idx="0">
                  <c:v>Abz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A2A2" mc:Ignorable="a14" a14:legacySpreadsheetColorIndex="10">
                    <a:gamma/>
                    <a:tint val="36471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A2A2" mc:Ignorable="a14" a14:legacySpreadsheetColorIndex="10">
                    <a:gamma/>
                    <a:tint val="36471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Programm!$A$75:$A$90</c:f>
              <c:strCache>
                <c:ptCount val="16"/>
                <c:pt idx="0">
                  <c:v>Wettkampf 1</c:v>
                </c:pt>
                <c:pt idx="1">
                  <c:v>Wettkampf 2</c:v>
                </c:pt>
                <c:pt idx="2">
                  <c:v>Wettkampf 3</c:v>
                </c:pt>
                <c:pt idx="3">
                  <c:v>Wettkampf 4</c:v>
                </c:pt>
                <c:pt idx="4">
                  <c:v>Wettkampf 5</c:v>
                </c:pt>
                <c:pt idx="5">
                  <c:v>Wettkampf 6</c:v>
                </c:pt>
                <c:pt idx="6">
                  <c:v>Wettkampf 7</c:v>
                </c:pt>
                <c:pt idx="7">
                  <c:v>Wettkampf 8</c:v>
                </c:pt>
                <c:pt idx="8">
                  <c:v>Wettkampf 9</c:v>
                </c:pt>
                <c:pt idx="9">
                  <c:v>Wettkampf 10</c:v>
                </c:pt>
                <c:pt idx="10">
                  <c:v>Wettkampf 11</c:v>
                </c:pt>
                <c:pt idx="11">
                  <c:v>Wettkampf 12</c:v>
                </c:pt>
                <c:pt idx="12">
                  <c:v>Wettkampf 13</c:v>
                </c:pt>
                <c:pt idx="13">
                  <c:v>Wettkampf 14</c:v>
                </c:pt>
                <c:pt idx="14">
                  <c:v>Wettkampf 15</c:v>
                </c:pt>
                <c:pt idx="15">
                  <c:v>Durchschnitt</c:v>
                </c:pt>
              </c:strCache>
            </c:strRef>
          </c:cat>
          <c:val>
            <c:numRef>
              <c:f>Programm!$E$75:$E$90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C-4300-AA75-286CAD811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3206840"/>
        <c:axId val="1"/>
      </c:barChart>
      <c:lineChart>
        <c:grouping val="standard"/>
        <c:varyColors val="0"/>
        <c:ser>
          <c:idx val="2"/>
          <c:order val="0"/>
          <c:tx>
            <c:strRef>
              <c:f>Programm!$B$74</c:f>
              <c:strCache>
                <c:ptCount val="1"/>
                <c:pt idx="0">
                  <c:v>Aufg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Programm!$A$75:$A$90</c:f>
              <c:strCache>
                <c:ptCount val="16"/>
                <c:pt idx="0">
                  <c:v>Wettkampf 1</c:v>
                </c:pt>
                <c:pt idx="1">
                  <c:v>Wettkampf 2</c:v>
                </c:pt>
                <c:pt idx="2">
                  <c:v>Wettkampf 3</c:v>
                </c:pt>
                <c:pt idx="3">
                  <c:v>Wettkampf 4</c:v>
                </c:pt>
                <c:pt idx="4">
                  <c:v>Wettkampf 5</c:v>
                </c:pt>
                <c:pt idx="5">
                  <c:v>Wettkampf 6</c:v>
                </c:pt>
                <c:pt idx="6">
                  <c:v>Wettkampf 7</c:v>
                </c:pt>
                <c:pt idx="7">
                  <c:v>Wettkampf 8</c:v>
                </c:pt>
                <c:pt idx="8">
                  <c:v>Wettkampf 9</c:v>
                </c:pt>
                <c:pt idx="9">
                  <c:v>Wettkampf 10</c:v>
                </c:pt>
                <c:pt idx="10">
                  <c:v>Wettkampf 11</c:v>
                </c:pt>
                <c:pt idx="11">
                  <c:v>Wettkampf 12</c:v>
                </c:pt>
                <c:pt idx="12">
                  <c:v>Wettkampf 13</c:v>
                </c:pt>
                <c:pt idx="13">
                  <c:v>Wettkampf 14</c:v>
                </c:pt>
                <c:pt idx="14">
                  <c:v>Wettkampf 15</c:v>
                </c:pt>
                <c:pt idx="15">
                  <c:v>Durchschnitt</c:v>
                </c:pt>
              </c:strCache>
            </c:strRef>
          </c:cat>
          <c:val>
            <c:numRef>
              <c:f>Programm!$B$75:$B$90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EC-4300-AA75-286CAD811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06840"/>
        <c:axId val="1"/>
      </c:lineChart>
      <c:catAx>
        <c:axId val="363206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2068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dTable>
      <c:spPr>
        <a:gradFill rotWithShape="0">
          <a:gsLst>
            <a:gs pos="0">
              <a:srgbClr xmlns:mc="http://schemas.openxmlformats.org/markup-compatibility/2006" xmlns:a14="http://schemas.microsoft.com/office/drawing/2010/main" val="FBFBFB" mc:Ignorable="a14" a14:legacySpreadsheetColorIndex="22">
                <a:gamma/>
                <a:tint val="5882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50393704" l="0.39370078740157483" r="0.39370078740157483" t="0.98425196850393704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Abzüge Gesamt</a:t>
            </a:r>
          </a:p>
        </c:rich>
      </c:tx>
      <c:layout>
        <c:manualLayout>
          <c:xMode val="edge"/>
          <c:yMode val="edge"/>
          <c:x val="0.37083835817882121"/>
          <c:y val="2.881362146597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9701526005896378E-2"/>
          <c:y val="0.30847457627118646"/>
          <c:w val="0.90815205905123142"/>
          <c:h val="0.49830508474576274"/>
        </c:manualLayout>
      </c:layout>
      <c:barChart>
        <c:barDir val="col"/>
        <c:grouping val="stacked"/>
        <c:varyColors val="0"/>
        <c:ser>
          <c:idx val="0"/>
          <c:order val="0"/>
          <c:tx>
            <c:v>Abzugsart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B9DCCA" mc:Ignorable="a14" a14:legacySpreadsheetColorIndex="57">
                    <a:gamma/>
                    <a:tint val="34510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339966" mc:Ignorable="a14" a14:legacySpreadsheetColorIndex="57"/>
                </a:gs>
                <a:gs pos="100000">
                  <a:srgbClr xmlns:mc="http://schemas.openxmlformats.org/markup-compatibility/2006" xmlns:a14="http://schemas.microsoft.com/office/drawing/2010/main" val="B9DCCA" mc:Ignorable="a14" a14:legacySpreadsheetColorIndex="57">
                    <a:gamma/>
                    <a:tint val="34510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Programm!$EO$72:$EQ$78</c:f>
              <c:multiLvlStrCache>
                <c:ptCount val="7"/>
                <c:lvl>
                  <c:pt idx="0">
                    <c:v>x</c:v>
                  </c:pt>
                  <c:pt idx="1">
                    <c:v>~</c:v>
                  </c:pt>
                  <c:pt idx="2">
                    <c:v>|</c:v>
                  </c:pt>
                  <c:pt idx="3">
                    <c:v>0</c:v>
                  </c:pt>
                  <c:pt idx="4">
                    <c:v>10%</c:v>
                  </c:pt>
                  <c:pt idx="5">
                    <c:v>50%</c:v>
                  </c:pt>
                  <c:pt idx="6">
                    <c:v>100%</c:v>
                  </c:pt>
                </c:lvl>
                <c:lvl>
                  <c:pt idx="0">
                    <c:v>Wertungen</c:v>
                  </c:pt>
                  <c:pt idx="1">
                    <c:v>Wertungen</c:v>
                  </c:pt>
                  <c:pt idx="2">
                    <c:v>Wertungen</c:v>
                  </c:pt>
                  <c:pt idx="3">
                    <c:v>Wertungen</c:v>
                  </c:pt>
                  <c:pt idx="4">
                    <c:v>Wertungen</c:v>
                  </c:pt>
                  <c:pt idx="5">
                    <c:v>Wertungen</c:v>
                  </c:pt>
                  <c:pt idx="6">
                    <c:v>Wertungen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lvl>
              </c:multiLvlStrCache>
            </c:multiLvlStrRef>
          </c:cat>
          <c:val>
            <c:numRef>
              <c:f>Programm!$ER$72:$ER$78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3-49A5-9EE5-D44D17616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3199640"/>
        <c:axId val="1"/>
      </c:barChart>
      <c:catAx>
        <c:axId val="363199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19964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3662468999641406"/>
          <c:y val="4.5762652751881315E-2"/>
          <c:w val="0.30310012626148486"/>
          <c:h val="0.106779523087723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Abzüge pro Wertung</a:t>
            </a:r>
          </a:p>
        </c:rich>
      </c:tx>
      <c:layout>
        <c:manualLayout>
          <c:xMode val="edge"/>
          <c:yMode val="edge"/>
          <c:x val="0.33256880733944955"/>
          <c:y val="2.8764797257485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605504587155966E-2"/>
          <c:y val="0.23857907442872653"/>
          <c:w val="0.92660550458715596"/>
          <c:h val="0.57360500873289566"/>
        </c:manualLayout>
      </c:layout>
      <c:barChart>
        <c:barDir val="col"/>
        <c:grouping val="stacked"/>
        <c:varyColors val="0"/>
        <c:ser>
          <c:idx val="0"/>
          <c:order val="0"/>
          <c:tx>
            <c:v>Abzugsart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D5EAE0" mc:Ignorable="a14" a14:legacySpreadsheetColorIndex="57">
                    <a:gamma/>
                    <a:tint val="20392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339966" mc:Ignorable="a14" a14:legacySpreadsheetColorIndex="57"/>
                </a:gs>
                <a:gs pos="100000">
                  <a:srgbClr xmlns:mc="http://schemas.openxmlformats.org/markup-compatibility/2006" xmlns:a14="http://schemas.microsoft.com/office/drawing/2010/main" val="D5EAE0" mc:Ignorable="a14" a14:legacySpreadsheetColorIndex="57">
                    <a:gamma/>
                    <a:tint val="20392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Programm!$EO$72:$EQ$78</c:f>
              <c:multiLvlStrCache>
                <c:ptCount val="7"/>
                <c:lvl>
                  <c:pt idx="0">
                    <c:v>x</c:v>
                  </c:pt>
                  <c:pt idx="1">
                    <c:v>~</c:v>
                  </c:pt>
                  <c:pt idx="2">
                    <c:v>|</c:v>
                  </c:pt>
                  <c:pt idx="3">
                    <c:v>0</c:v>
                  </c:pt>
                  <c:pt idx="4">
                    <c:v>10%</c:v>
                  </c:pt>
                  <c:pt idx="5">
                    <c:v>50%</c:v>
                  </c:pt>
                  <c:pt idx="6">
                    <c:v>100%</c:v>
                  </c:pt>
                </c:lvl>
                <c:lvl>
                  <c:pt idx="0">
                    <c:v>Wertungen</c:v>
                  </c:pt>
                  <c:pt idx="1">
                    <c:v>Wertungen</c:v>
                  </c:pt>
                  <c:pt idx="2">
                    <c:v>Wertungen</c:v>
                  </c:pt>
                  <c:pt idx="3">
                    <c:v>Wertungen</c:v>
                  </c:pt>
                  <c:pt idx="4">
                    <c:v>Wertungen</c:v>
                  </c:pt>
                  <c:pt idx="5">
                    <c:v>Wertungen</c:v>
                  </c:pt>
                  <c:pt idx="6">
                    <c:v>Wertungen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lvl>
              </c:multiLvlStrCache>
            </c:multiLvlStrRef>
          </c:cat>
          <c:val>
            <c:numRef>
              <c:f>Programm!$ES$72:$ES$78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3-4724-8337-692A8D1EE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3201800"/>
        <c:axId val="1"/>
      </c:barChart>
      <c:catAx>
        <c:axId val="36320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20180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467889908256881"/>
          <c:y val="3.8917099648258256E-2"/>
          <c:w val="0.28096330275229359"/>
          <c:h val="9.98309139928937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Abzug pro Wertung</a:t>
            </a:r>
          </a:p>
        </c:rich>
      </c:tx>
      <c:layout>
        <c:manualLayout>
          <c:xMode val="edge"/>
          <c:yMode val="edge"/>
          <c:x val="0.34822487395261159"/>
          <c:y val="2.90599352610940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546449413894052E-2"/>
          <c:y val="0.21538497493485398"/>
          <c:w val="0.94387276260108222"/>
          <c:h val="0.64102671111563692"/>
        </c:manualLayout>
      </c:layout>
      <c:barChart>
        <c:barDir val="col"/>
        <c:grouping val="clustered"/>
        <c:varyColors val="0"/>
        <c:ser>
          <c:idx val="0"/>
          <c:order val="0"/>
          <c:tx>
            <c:v>Übung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DEEFE6" mc:Ignorable="a14" a14:legacySpreadsheetColorIndex="57">
                    <a:gamma/>
                    <a:tint val="16078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339966" mc:Ignorable="a14" a14:legacySpreadsheetColorIndex="57"/>
                </a:gs>
                <a:gs pos="100000">
                  <a:srgbClr xmlns:mc="http://schemas.openxmlformats.org/markup-compatibility/2006" xmlns:a14="http://schemas.microsoft.com/office/drawing/2010/main" val="DEEFE6" mc:Ignorable="a14" a14:legacySpreadsheetColorIndex="57">
                    <a:gamma/>
                    <a:tint val="16078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Programm!$E$143:$E$201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A-4637-8BAA-9D2C16826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196760"/>
        <c:axId val="1"/>
      </c:barChart>
      <c:catAx>
        <c:axId val="36319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19676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4.3528064146620846E-2"/>
          <c:y val="3.0769258473908601E-2"/>
          <c:w val="0.30355121417382963"/>
          <c:h val="9.91454284337956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Anzahl pro Wertung</a:t>
            </a:r>
          </a:p>
        </c:rich>
      </c:tx>
      <c:layout>
        <c:manualLayout>
          <c:xMode val="edge"/>
          <c:yMode val="edge"/>
          <c:x val="0.33830275229357798"/>
          <c:y val="3.22034745656792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605504587155966E-2"/>
          <c:y val="0.20338983050847459"/>
          <c:w val="0.94380733944954132"/>
          <c:h val="0.65423728813559323"/>
        </c:manualLayout>
      </c:layout>
      <c:barChart>
        <c:barDir val="col"/>
        <c:grouping val="clustered"/>
        <c:varyColors val="0"/>
        <c:ser>
          <c:idx val="1"/>
          <c:order val="0"/>
          <c:tx>
            <c:v>X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DAE3FF" mc:Ignorable="a14" a14:legacySpreadsheetColorIndex="48">
                    <a:gamma/>
                    <a:tint val="18039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100000">
                  <a:srgbClr xmlns:mc="http://schemas.openxmlformats.org/markup-compatibility/2006" xmlns:a14="http://schemas.microsoft.com/office/drawing/2010/main" val="DAE3FF" mc:Ignorable="a14" a14:legacySpreadsheetColorIndex="48">
                    <a:gamma/>
                    <a:tint val="18039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0"/>
            <c:invertIfNegative val="0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A5BBFF" mc:Ignorable="a14" a14:legacySpreadsheetColorIndex="48">
                      <a:gamma/>
                      <a:tint val="44314"/>
                      <a:invGamma/>
                    </a:srgbClr>
                  </a:gs>
                  <a:gs pos="50000">
                    <a:srgbClr xmlns:mc="http://schemas.openxmlformats.org/markup-compatibility/2006" xmlns:a14="http://schemas.microsoft.com/office/drawing/2010/main" val="3366FF" mc:Ignorable="a14" a14:legacySpreadsheetColorIndex="48"/>
                  </a:gs>
                  <a:gs pos="100000">
                    <a:srgbClr xmlns:mc="http://schemas.openxmlformats.org/markup-compatibility/2006" xmlns:a14="http://schemas.microsoft.com/office/drawing/2010/main" val="A5BBFF" mc:Ignorable="a14" a14:legacySpreadsheetColorIndex="48">
                      <a:gamma/>
                      <a:tint val="44314"/>
                      <a:invGamma/>
                    </a:srgbClr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4272-4235-B6A4-80F18DC29712}"/>
              </c:ext>
            </c:extLst>
          </c:dPt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Programm!$F$143:$F$201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2-4235-B6A4-80F18DC29712}"/>
            </c:ext>
          </c:extLst>
        </c:ser>
        <c:ser>
          <c:idx val="0"/>
          <c:order val="1"/>
          <c:tx>
            <c:v>Wellen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FF99" mc:Ignorable="a14" a14:legacySpreadsheetColorIndex="43"/>
                </a:gs>
                <a:gs pos="50000">
                  <a:srgbClr xmlns:mc="http://schemas.openxmlformats.org/markup-compatibility/2006" xmlns:a14="http://schemas.microsoft.com/office/drawing/2010/main" val="BFBF73" mc:Ignorable="a14" a14:legacySpreadsheetColorIndex="43">
                    <a:gamma/>
                    <a:shade val="74902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FF99" mc:Ignorable="a14" a14:legacySpreadsheetColorIndex="43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Programm!$G$143:$G$201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72-4235-B6A4-80F18DC29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05400"/>
        <c:axId val="1"/>
      </c:barChart>
      <c:catAx>
        <c:axId val="36320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20540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7339449541284407E-3"/>
          <c:y val="2.7118574463906298E-2"/>
          <c:w val="0.2385321100917431"/>
          <c:h val="0.108474476404735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Anzahl pro Wertung</a:t>
            </a:r>
          </a:p>
        </c:rich>
      </c:tx>
      <c:layout>
        <c:manualLayout>
          <c:xMode val="edge"/>
          <c:yMode val="edge"/>
          <c:x val="0.33486238532110091"/>
          <c:y val="2.8862433151487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605504587155966E-2"/>
          <c:y val="0.30899855836706674"/>
          <c:w val="0.94380733944954132"/>
          <c:h val="0.54838755138770645"/>
        </c:manualLayout>
      </c:layout>
      <c:barChart>
        <c:barDir val="col"/>
        <c:grouping val="clustered"/>
        <c:varyColors val="0"/>
        <c:ser>
          <c:idx val="1"/>
          <c:order val="0"/>
          <c:tx>
            <c:v>Strich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182F76" mc:Ignorable="a14" a14:legacySpreadsheetColorIndex="48">
                    <a:gamma/>
                    <a:shade val="4627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Programm!$H$143:$H$201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5-4F1D-B647-A92B73CDC762}"/>
            </c:ext>
          </c:extLst>
        </c:ser>
        <c:ser>
          <c:idx val="0"/>
          <c:order val="1"/>
          <c:tx>
            <c:v>Sturz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FF99" mc:Ignorable="a14" a14:legacySpreadsheetColorIndex="43"/>
                </a:gs>
                <a:gs pos="100000">
                  <a:srgbClr xmlns:mc="http://schemas.openxmlformats.org/markup-compatibility/2006" xmlns:a14="http://schemas.microsoft.com/office/drawing/2010/main" val="A5A563" mc:Ignorable="a14" a14:legacySpreadsheetColorIndex="43">
                    <a:gamma/>
                    <a:shade val="64706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1"/>
            <c:invertIfNegative val="0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FFFF99" mc:Ignorable="a14" a14:legacySpreadsheetColorIndex="43"/>
                  </a:gs>
                  <a:gs pos="50000">
                    <a:srgbClr xmlns:mc="http://schemas.openxmlformats.org/markup-compatibility/2006" xmlns:a14="http://schemas.microsoft.com/office/drawing/2010/main" val="A5A563" mc:Ignorable="a14" a14:legacySpreadsheetColorIndex="43">
                      <a:gamma/>
                      <a:shade val="64706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FF99" mc:Ignorable="a14" a14:legacySpreadsheetColorIndex="43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555-4F1D-B647-A92B73CDC762}"/>
              </c:ext>
            </c:extLst>
          </c:dPt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Programm!$I$143:$I$201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55-4F1D-B647-A92B73CDC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01080"/>
        <c:axId val="1"/>
      </c:barChart>
      <c:catAx>
        <c:axId val="363201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63201080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3.7844036697247709E-2"/>
          <c:y val="2.8862433151487465E-2"/>
          <c:w val="0.28669724770642202"/>
          <c:h val="0.10356543316044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Anzahl pro Wertung</a:t>
            </a:r>
          </a:p>
        </c:rich>
      </c:tx>
      <c:layout>
        <c:manualLayout>
          <c:xMode val="edge"/>
          <c:yMode val="edge"/>
          <c:x val="0.40825688073394495"/>
          <c:y val="2.881362146597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605504587155966E-2"/>
          <c:y val="0.33050847457627119"/>
          <c:w val="0.94380733944954132"/>
          <c:h val="0.52711864406779663"/>
        </c:manualLayout>
      </c:layout>
      <c:barChart>
        <c:barDir val="col"/>
        <c:grouping val="clustered"/>
        <c:varyColors val="0"/>
        <c:ser>
          <c:idx val="1"/>
          <c:order val="0"/>
          <c:tx>
            <c:v>10%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Programm!$J$143:$J$201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5-4B47-BBAE-33D2255E757B}"/>
            </c:ext>
          </c:extLst>
        </c:ser>
        <c:ser>
          <c:idx val="0"/>
          <c:order val="1"/>
          <c:tx>
            <c:v>50%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FF99" mc:Ignorable="a14" a14:legacySpreadsheetColorIndex="43"/>
                </a:gs>
                <a:gs pos="50000">
                  <a:srgbClr xmlns:mc="http://schemas.openxmlformats.org/markup-compatibility/2006" xmlns:a14="http://schemas.microsoft.com/office/drawing/2010/main" val="CECE7C" mc:Ignorable="a14" a14:legacySpreadsheetColorIndex="43">
                    <a:gamma/>
                    <a:shade val="80784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FF99" mc:Ignorable="a14" a14:legacySpreadsheetColorIndex="43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FFFF99" mc:Ignorable="a14" a14:legacySpreadsheetColorIndex="43"/>
                  </a:gs>
                  <a:gs pos="50000">
                    <a:srgbClr xmlns:mc="http://schemas.openxmlformats.org/markup-compatibility/2006" xmlns:a14="http://schemas.microsoft.com/office/drawing/2010/main" val="B4B46C" mc:Ignorable="a14" a14:legacySpreadsheetColorIndex="43">
                      <a:gamma/>
                      <a:shade val="70588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FF99" mc:Ignorable="a14" a14:legacySpreadsheetColorIndex="43"/>
                  </a:gs>
                </a:gsLst>
                <a:lin ang="0" scaled="1"/>
              </a:gra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CC5-4B47-BBAE-33D2255E757B}"/>
              </c:ext>
            </c:extLst>
          </c:dPt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Programm!$K$143:$K$201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C5-4B47-BBAE-33D2255E757B}"/>
            </c:ext>
          </c:extLst>
        </c:ser>
        <c:ser>
          <c:idx val="2"/>
          <c:order val="2"/>
          <c:tx>
            <c:v>100%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Programm!$A$143:$B$201</c:f>
              <c:multiLvlStrCache>
                <c:ptCount val="30"/>
                <c:lvl>
                  <c:pt idx="0">
                    <c:v>Übung 1</c:v>
                  </c:pt>
                  <c:pt idx="1">
                    <c:v>Übung 2</c:v>
                  </c:pt>
                  <c:pt idx="2">
                    <c:v>Übung 3</c:v>
                  </c:pt>
                  <c:pt idx="3">
                    <c:v>Übung 4</c:v>
                  </c:pt>
                  <c:pt idx="4">
                    <c:v>Übung 5</c:v>
                  </c:pt>
                  <c:pt idx="5">
                    <c:v>Übung 6</c:v>
                  </c:pt>
                  <c:pt idx="6">
                    <c:v>Übung 7</c:v>
                  </c:pt>
                  <c:pt idx="7">
                    <c:v>Übung 8</c:v>
                  </c:pt>
                  <c:pt idx="8">
                    <c:v>Übung 9</c:v>
                  </c:pt>
                  <c:pt idx="9">
                    <c:v>Übung 10</c:v>
                  </c:pt>
                  <c:pt idx="10">
                    <c:v>Übung 11</c:v>
                  </c:pt>
                  <c:pt idx="11">
                    <c:v>Übung 12</c:v>
                  </c:pt>
                  <c:pt idx="12">
                    <c:v>Übung 13</c:v>
                  </c:pt>
                  <c:pt idx="13">
                    <c:v>Übung 14</c:v>
                  </c:pt>
                  <c:pt idx="14">
                    <c:v>Übung 15</c:v>
                  </c:pt>
                  <c:pt idx="15">
                    <c:v>Übung 16</c:v>
                  </c:pt>
                  <c:pt idx="16">
                    <c:v>Übung 17</c:v>
                  </c:pt>
                  <c:pt idx="17">
                    <c:v>Übung 18</c:v>
                  </c:pt>
                  <c:pt idx="18">
                    <c:v>Übung 19</c:v>
                  </c:pt>
                  <c:pt idx="19">
                    <c:v>Übung 20</c:v>
                  </c:pt>
                  <c:pt idx="20">
                    <c:v>Übung 21</c:v>
                  </c:pt>
                  <c:pt idx="21">
                    <c:v>Übung 22</c:v>
                  </c:pt>
                  <c:pt idx="22">
                    <c:v>Übung 23</c:v>
                  </c:pt>
                  <c:pt idx="23">
                    <c:v>Übung 24</c:v>
                  </c:pt>
                  <c:pt idx="24">
                    <c:v>Übung 25</c:v>
                  </c:pt>
                  <c:pt idx="25">
                    <c:v>Übung 26</c:v>
                  </c:pt>
                  <c:pt idx="26">
                    <c:v>Übung 27</c:v>
                  </c:pt>
                  <c:pt idx="27">
                    <c:v>Übung 28</c:v>
                  </c:pt>
                  <c:pt idx="28">
                    <c:v>Übung 29</c:v>
                  </c:pt>
                  <c:pt idx="29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</c:lvl>
              </c:multiLvlStrCache>
            </c:multiLvlStrRef>
          </c:cat>
          <c:val>
            <c:numRef>
              <c:f>Programm!$L$143:$L$201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C5-4B47-BBAE-33D2255E7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154768"/>
        <c:axId val="1"/>
      </c:barChart>
      <c:catAx>
        <c:axId val="10615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6154768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7339449541284407E-3"/>
          <c:y val="2.881362146597093E-2"/>
          <c:w val="0.34977064220183485"/>
          <c:h val="0.103389895683823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Abzug pro Wertung</a:t>
            </a:r>
          </a:p>
        </c:rich>
      </c:tx>
      <c:layout>
        <c:manualLayout>
          <c:xMode val="edge"/>
          <c:yMode val="edge"/>
          <c:x val="0.34792650918635171"/>
          <c:y val="2.89117017369415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95421516901682E-2"/>
          <c:y val="0.13605464773106621"/>
          <c:w val="0.93087609968818608"/>
          <c:h val="0.77211012587380068"/>
        </c:manualLayout>
      </c:layout>
      <c:barChart>
        <c:barDir val="col"/>
        <c:grouping val="clustered"/>
        <c:varyColors val="0"/>
        <c:ser>
          <c:idx val="2"/>
          <c:order val="0"/>
          <c:tx>
            <c:v>x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003-4305-99D6-CD39C731E1E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Übung'!$N$14:$N$72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3-4305-99D6-CD39C731E1EE}"/>
            </c:ext>
          </c:extLst>
        </c:ser>
        <c:ser>
          <c:idx val="0"/>
          <c:order val="1"/>
          <c:tx>
            <c:v>~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Übung'!$O$14:$O$72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03-4305-99D6-CD39C731E1EE}"/>
            </c:ext>
          </c:extLst>
        </c:ser>
        <c:ser>
          <c:idx val="1"/>
          <c:order val="2"/>
          <c:tx>
            <c:v>|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Übung'!$P$14:$P$72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03-4305-99D6-CD39C731E1EE}"/>
            </c:ext>
          </c:extLst>
        </c:ser>
        <c:ser>
          <c:idx val="3"/>
          <c:order val="3"/>
          <c:tx>
            <c:v>0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Übung'!$Q$14:$Q$72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03-4305-99D6-CD39C731E1EE}"/>
            </c:ext>
          </c:extLst>
        </c:ser>
        <c:ser>
          <c:idx val="4"/>
          <c:order val="4"/>
          <c:tx>
            <c:v>10%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Übung'!$R$14:$R$72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03-4305-99D6-CD39C731E1EE}"/>
            </c:ext>
          </c:extLst>
        </c:ser>
        <c:ser>
          <c:idx val="5"/>
          <c:order val="5"/>
          <c:tx>
            <c:v>50%</c:v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Übung'!$S$14:$S$72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03-4305-99D6-CD39C731E1EE}"/>
            </c:ext>
          </c:extLst>
        </c:ser>
        <c:ser>
          <c:idx val="6"/>
          <c:order val="6"/>
          <c:tx>
            <c:v>100%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66CC" mc:Ignorable="a14" a14:legacySpreadsheetColorIndex="30"/>
                </a:gs>
                <a:gs pos="50000">
                  <a:srgbClr xmlns:mc="http://schemas.openxmlformats.org/markup-compatibility/2006" xmlns:a14="http://schemas.microsoft.com/office/drawing/2010/main" val="5A9CDE" mc:Ignorable="a14" a14:legacySpreadsheetColorIndex="30">
                    <a:gamma/>
                    <a:tint val="64706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66CC" mc:Ignorable="a14" a14:legacySpreadsheetColorIndex="3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'Einzelne Übung'!$B$14:$B$72</c:f>
              <c:strCache>
                <c:ptCount val="1"/>
                <c:pt idx="0">
                  <c:v>Übung 27</c:v>
                </c:pt>
              </c:strCache>
            </c:strRef>
          </c:cat>
          <c:val>
            <c:numRef>
              <c:f>'Einzelne Übung'!$T$14:$T$72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03-4305-99D6-CD39C731E1EE}"/>
            </c:ext>
          </c:extLst>
        </c:ser>
        <c:ser>
          <c:idx val="7"/>
          <c:order val="7"/>
          <c:tx>
            <c:v>Ges.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CCCCFF" mc:Ignorable="a14" a14:legacySpreadsheetColorIndex="31"/>
                </a:gs>
                <a:gs pos="100000">
                  <a:srgbClr xmlns:mc="http://schemas.openxmlformats.org/markup-compatibility/2006" xmlns:a14="http://schemas.microsoft.com/office/drawing/2010/main" val="E5E5FF" mc:Ignorable="a14" a14:legacySpreadsheetColorIndex="31">
                    <a:gamma/>
                    <a:tint val="50588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'Einzelne Übung'!$E$14:$E$72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03-4305-99D6-CD39C731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92808"/>
        <c:axId val="1"/>
      </c:barChart>
      <c:catAx>
        <c:axId val="37269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72692808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Übungen mit höchsten Abzügen pro Wertung</a:t>
            </a:r>
          </a:p>
        </c:rich>
      </c:tx>
      <c:layout>
        <c:manualLayout>
          <c:xMode val="edge"/>
          <c:yMode val="edge"/>
          <c:x val="0.13563230458261682"/>
          <c:y val="2.86738797938027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72419599070132E-2"/>
          <c:y val="0.15412213353027962"/>
          <c:w val="0.94367922018590633"/>
          <c:h val="0.70609442570849035"/>
        </c:manualLayout>
      </c:layout>
      <c:barChart>
        <c:barDir val="col"/>
        <c:grouping val="clustered"/>
        <c:varyColors val="0"/>
        <c:ser>
          <c:idx val="2"/>
          <c:order val="0"/>
          <c:tx>
            <c:v>x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DEE-4969-8369-8840A683F413}"/>
                </c:ext>
              </c:extLst>
            </c:dLbl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Abzüge'!$N$14:$N$72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E-4969-8369-8840A683F413}"/>
            </c:ext>
          </c:extLst>
        </c:ser>
        <c:ser>
          <c:idx val="0"/>
          <c:order val="1"/>
          <c:tx>
            <c:v>~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Abzüge'!$O$14:$O$72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EE-4969-8369-8840A683F413}"/>
            </c:ext>
          </c:extLst>
        </c:ser>
        <c:ser>
          <c:idx val="1"/>
          <c:order val="2"/>
          <c:tx>
            <c:v>|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Abzüge'!$P$14:$P$72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EE-4969-8369-8840A683F413}"/>
            </c:ext>
          </c:extLst>
        </c:ser>
        <c:ser>
          <c:idx val="3"/>
          <c:order val="3"/>
          <c:tx>
            <c:v>0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Abzüge'!$Q$14:$Q$72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EE-4969-8369-8840A683F413}"/>
            </c:ext>
          </c:extLst>
        </c:ser>
        <c:ser>
          <c:idx val="4"/>
          <c:order val="4"/>
          <c:tx>
            <c:v>10%</c:v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Abzüge'!$R$14:$R$72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EE-4969-8369-8840A683F413}"/>
            </c:ext>
          </c:extLst>
        </c:ser>
        <c:ser>
          <c:idx val="5"/>
          <c:order val="5"/>
          <c:tx>
            <c:v>50%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8080" mc:Ignorable="a14" a14:legacySpreadsheetColorIndex="29"/>
                </a:gs>
                <a:gs pos="50000">
                  <a:srgbClr xmlns:mc="http://schemas.openxmlformats.org/markup-compatibility/2006" xmlns:a14="http://schemas.microsoft.com/office/drawing/2010/main" val="FFAFAF" mc:Ignorable="a14" a14:legacySpreadsheetColorIndex="29">
                    <a:gamma/>
                    <a:tint val="62745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FF8080" mc:Ignorable="a14" a14:legacySpreadsheetColorIndex="29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Abzüge'!$S$14:$S$72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EE-4969-8369-8840A683F413}"/>
            </c:ext>
          </c:extLst>
        </c:ser>
        <c:ser>
          <c:idx val="6"/>
          <c:order val="6"/>
          <c:tx>
            <c:v>100%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66CC" mc:Ignorable="a14" a14:legacySpreadsheetColorIndex="30"/>
                </a:gs>
                <a:gs pos="50000">
                  <a:srgbClr xmlns:mc="http://schemas.openxmlformats.org/markup-compatibility/2006" xmlns:a14="http://schemas.microsoft.com/office/drawing/2010/main" val="83B5E6" mc:Ignorable="a14" a14:legacySpreadsheetColorIndex="30">
                    <a:gamma/>
                    <a:tint val="48627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0066CC" mc:Ignorable="a14" a14:legacySpreadsheetColorIndex="3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'höchste Abzüge'!$A$14:$B$72</c:f>
              <c:multiLvlStrCache>
                <c:ptCount val="5"/>
                <c:lvl>
                  <c:pt idx="0">
                    <c:v>Übung 1</c:v>
                  </c:pt>
                  <c:pt idx="1">
                    <c:v>Übung 8</c:v>
                  </c:pt>
                  <c:pt idx="2">
                    <c:v>Übung 18</c:v>
                  </c:pt>
                  <c:pt idx="3">
                    <c:v>Übung 29</c:v>
                  </c:pt>
                  <c:pt idx="4">
                    <c:v>Übung 30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'höchste Abzüge'!$T$14:$T$72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EE-4969-8369-8840A683F413}"/>
            </c:ext>
          </c:extLst>
        </c:ser>
        <c:ser>
          <c:idx val="7"/>
          <c:order val="7"/>
          <c:tx>
            <c:v>Ges.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CCCCFF" mc:Ignorable="a14" a14:legacySpreadsheetColorIndex="31"/>
                </a:gs>
                <a:gs pos="50000">
                  <a:srgbClr xmlns:mc="http://schemas.openxmlformats.org/markup-compatibility/2006" xmlns:a14="http://schemas.microsoft.com/office/drawing/2010/main" val="EAEAFF" mc:Ignorable="a14" a14:legacySpreadsheetColorIndex="31">
                    <a:gamma/>
                    <a:tint val="40392"/>
                    <a:invGamma/>
                  </a:srgbClr>
                </a:gs>
                <a:gs pos="100000">
                  <a:srgbClr xmlns:mc="http://schemas.openxmlformats.org/markup-compatibility/2006" xmlns:a14="http://schemas.microsoft.com/office/drawing/2010/main" val="CCCCFF" mc:Ignorable="a14" a14:legacySpreadsheetColorIndex="31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DEE-4969-8369-8840A683F413}"/>
                </c:ext>
              </c:extLst>
            </c:dLbl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'höchste Abzüge'!$E$14:$E$72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EE-4969-8369-8840A683F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372686688"/>
        <c:axId val="1"/>
      </c:barChart>
      <c:catAx>
        <c:axId val="37268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72686688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Zeit</a:t>
            </a:r>
          </a:p>
        </c:rich>
      </c:tx>
      <c:layout>
        <c:manualLayout>
          <c:xMode val="edge"/>
          <c:yMode val="edge"/>
          <c:x val="0.46750309004988971"/>
          <c:y val="2.99625823608207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7366035760914651E-2"/>
          <c:y val="0.15730365845852803"/>
          <c:w val="0.96807351504235573"/>
          <c:h val="0.63295995903550561"/>
        </c:manualLayout>
      </c:layout>
      <c:barChart>
        <c:barDir val="col"/>
        <c:grouping val="clustered"/>
        <c:varyColors val="0"/>
        <c:ser>
          <c:idx val="2"/>
          <c:order val="0"/>
          <c:tx>
            <c:v>Zeit</c:v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  <a:gs pos="50000">
                  <a:srgbClr xmlns:mc="http://schemas.openxmlformats.org/markup-compatibility/2006" xmlns:a14="http://schemas.microsoft.com/office/drawing/2010/main" val="FF0000" mc:Ignorable="a14" a14:legacySpreadsheetColorIndex="10"/>
                </a:gs>
                <a:gs pos="100000">
                  <a:srgbClr xmlns:mc="http://schemas.openxmlformats.org/markup-compatibility/2006" xmlns:a14="http://schemas.microsoft.com/office/drawing/2010/main" val="FFA7A7" mc:Ignorable="a14" a14:legacySpreadsheetColorIndex="10">
                    <a:gamma/>
                    <a:tint val="34510"/>
                    <a:invGamma/>
                  </a:srgbClr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Programm!$A$205:$A$220</c:f>
              <c:strCache>
                <c:ptCount val="16"/>
                <c:pt idx="0">
                  <c:v>Wettkampf 1</c:v>
                </c:pt>
                <c:pt idx="1">
                  <c:v>Wettkampf 2</c:v>
                </c:pt>
                <c:pt idx="2">
                  <c:v>Wettkampf 3</c:v>
                </c:pt>
                <c:pt idx="3">
                  <c:v>Wettkampf 4</c:v>
                </c:pt>
                <c:pt idx="4">
                  <c:v>Wettkampf 5</c:v>
                </c:pt>
                <c:pt idx="5">
                  <c:v>Wettkampf 6</c:v>
                </c:pt>
                <c:pt idx="6">
                  <c:v>Wettkampf 7</c:v>
                </c:pt>
                <c:pt idx="7">
                  <c:v>Wettkampf 8</c:v>
                </c:pt>
                <c:pt idx="8">
                  <c:v>Wettkampf 9</c:v>
                </c:pt>
                <c:pt idx="9">
                  <c:v>Wettkampf 10</c:v>
                </c:pt>
                <c:pt idx="10">
                  <c:v>Wettkampf 11</c:v>
                </c:pt>
                <c:pt idx="11">
                  <c:v>Wettkampf 12</c:v>
                </c:pt>
                <c:pt idx="12">
                  <c:v>Wettkampf 13</c:v>
                </c:pt>
                <c:pt idx="13">
                  <c:v>Wettkampf 14</c:v>
                </c:pt>
                <c:pt idx="14">
                  <c:v>Wettkampf 15</c:v>
                </c:pt>
                <c:pt idx="15">
                  <c:v>Durchschnitt</c:v>
                </c:pt>
              </c:strCache>
            </c:strRef>
          </c:cat>
          <c:val>
            <c:numRef>
              <c:f>Programm!$B$205:$B$220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D-47F4-A4C6-7AB38FD2F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372696048"/>
        <c:axId val="1"/>
      </c:barChart>
      <c:catAx>
        <c:axId val="37269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372696048"/>
        <c:crosses val="autoZero"/>
        <c:crossBetween val="between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22">
                <a:gamma/>
                <a:tint val="0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1228725</xdr:colOff>
      <xdr:row>64</xdr:row>
      <xdr:rowOff>0</xdr:rowOff>
    </xdr:from>
    <xdr:to>
      <xdr:col>0</xdr:col>
      <xdr:colOff>2790825</xdr:colOff>
      <xdr:row>65</xdr:row>
      <xdr:rowOff>161925</xdr:rowOff>
    </xdr:to>
    <xdr:pic macro="[0]!Diag">
      <xdr:nvPicPr>
        <xdr:cNvPr id="5317" name="Übungsfilter">
          <a:extLst>
            <a:ext uri="{FF2B5EF4-FFF2-40B4-BE49-F238E27FC236}">
              <a16:creationId xmlns:a16="http://schemas.microsoft.com/office/drawing/2014/main" id="{B57A87FA-6E6F-C2CB-EF5B-3BAFDE0B9A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14630400"/>
          <a:ext cx="1562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10</xdr:col>
      <xdr:colOff>714375</xdr:colOff>
      <xdr:row>34</xdr:row>
      <xdr:rowOff>133350</xdr:rowOff>
    </xdr:to>
    <xdr:graphicFrame macro="">
      <xdr:nvGraphicFramePr>
        <xdr:cNvPr id="1132" name="Diagramm 3">
          <a:extLst>
            <a:ext uri="{FF2B5EF4-FFF2-40B4-BE49-F238E27FC236}">
              <a16:creationId xmlns:a16="http://schemas.microsoft.com/office/drawing/2014/main" id="{C540A358-6219-9427-699D-BC7BB8CAB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36</xdr:row>
      <xdr:rowOff>38100</xdr:rowOff>
    </xdr:from>
    <xdr:to>
      <xdr:col>10</xdr:col>
      <xdr:colOff>714375</xdr:colOff>
      <xdr:row>70</xdr:row>
      <xdr:rowOff>152400</xdr:rowOff>
    </xdr:to>
    <xdr:graphicFrame macro="">
      <xdr:nvGraphicFramePr>
        <xdr:cNvPr id="1133" name="Diagramm 7">
          <a:extLst>
            <a:ext uri="{FF2B5EF4-FFF2-40B4-BE49-F238E27FC236}">
              <a16:creationId xmlns:a16="http://schemas.microsoft.com/office/drawing/2014/main" id="{5F80C740-E6CA-DB33-617B-71C3CDBC7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72</xdr:row>
      <xdr:rowOff>38100</xdr:rowOff>
    </xdr:from>
    <xdr:to>
      <xdr:col>10</xdr:col>
      <xdr:colOff>723900</xdr:colOff>
      <xdr:row>107</xdr:row>
      <xdr:rowOff>0</xdr:rowOff>
    </xdr:to>
    <xdr:graphicFrame macro="">
      <xdr:nvGraphicFramePr>
        <xdr:cNvPr id="1134" name="Diagramm 8">
          <a:extLst>
            <a:ext uri="{FF2B5EF4-FFF2-40B4-BE49-F238E27FC236}">
              <a16:creationId xmlns:a16="http://schemas.microsoft.com/office/drawing/2014/main" id="{98699D64-5E3F-AACE-3B79-5F138E55F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108</xdr:row>
      <xdr:rowOff>28575</xdr:rowOff>
    </xdr:from>
    <xdr:to>
      <xdr:col>10</xdr:col>
      <xdr:colOff>723900</xdr:colOff>
      <xdr:row>142</xdr:row>
      <xdr:rowOff>95250</xdr:rowOff>
    </xdr:to>
    <xdr:graphicFrame macro="">
      <xdr:nvGraphicFramePr>
        <xdr:cNvPr id="1135" name="Diagramm 9">
          <a:extLst>
            <a:ext uri="{FF2B5EF4-FFF2-40B4-BE49-F238E27FC236}">
              <a16:creationId xmlns:a16="http://schemas.microsoft.com/office/drawing/2014/main" id="{07DC72E0-F3F6-658E-A5B8-36402652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144</xdr:row>
      <xdr:rowOff>38100</xdr:rowOff>
    </xdr:from>
    <xdr:to>
      <xdr:col>10</xdr:col>
      <xdr:colOff>714375</xdr:colOff>
      <xdr:row>178</xdr:row>
      <xdr:rowOff>152400</xdr:rowOff>
    </xdr:to>
    <xdr:graphicFrame macro="">
      <xdr:nvGraphicFramePr>
        <xdr:cNvPr id="1136" name="Diagramm 10">
          <a:extLst>
            <a:ext uri="{FF2B5EF4-FFF2-40B4-BE49-F238E27FC236}">
              <a16:creationId xmlns:a16="http://schemas.microsoft.com/office/drawing/2014/main" id="{B4C2825C-A20C-2F93-A91B-F2A736B24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180</xdr:row>
      <xdr:rowOff>38100</xdr:rowOff>
    </xdr:from>
    <xdr:to>
      <xdr:col>10</xdr:col>
      <xdr:colOff>723900</xdr:colOff>
      <xdr:row>214</xdr:row>
      <xdr:rowOff>142875</xdr:rowOff>
    </xdr:to>
    <xdr:graphicFrame macro="">
      <xdr:nvGraphicFramePr>
        <xdr:cNvPr id="1137" name="Diagramm 12">
          <a:extLst>
            <a:ext uri="{FF2B5EF4-FFF2-40B4-BE49-F238E27FC236}">
              <a16:creationId xmlns:a16="http://schemas.microsoft.com/office/drawing/2014/main" id="{7ABB625D-537D-0546-6277-531FC9B46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47625</xdr:colOff>
      <xdr:row>216</xdr:row>
      <xdr:rowOff>28575</xdr:rowOff>
    </xdr:from>
    <xdr:to>
      <xdr:col>10</xdr:col>
      <xdr:colOff>733425</xdr:colOff>
      <xdr:row>250</xdr:row>
      <xdr:rowOff>142875</xdr:rowOff>
    </xdr:to>
    <xdr:graphicFrame macro="">
      <xdr:nvGraphicFramePr>
        <xdr:cNvPr id="1138" name="Diagramm 13">
          <a:extLst>
            <a:ext uri="{FF2B5EF4-FFF2-40B4-BE49-F238E27FC236}">
              <a16:creationId xmlns:a16="http://schemas.microsoft.com/office/drawing/2014/main" id="{E74E12D0-1E20-7AC5-0E30-4A5D816C5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57150</xdr:colOff>
      <xdr:row>252</xdr:row>
      <xdr:rowOff>28575</xdr:rowOff>
    </xdr:from>
    <xdr:to>
      <xdr:col>10</xdr:col>
      <xdr:colOff>704850</xdr:colOff>
      <xdr:row>286</xdr:row>
      <xdr:rowOff>123825</xdr:rowOff>
    </xdr:to>
    <xdr:graphicFrame macro="">
      <xdr:nvGraphicFramePr>
        <xdr:cNvPr id="1139" name="Diagramm 15">
          <a:extLst>
            <a:ext uri="{FF2B5EF4-FFF2-40B4-BE49-F238E27FC236}">
              <a16:creationId xmlns:a16="http://schemas.microsoft.com/office/drawing/2014/main" id="{BA879C11-70E4-317F-915E-A337723E6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57150</xdr:colOff>
      <xdr:row>288</xdr:row>
      <xdr:rowOff>19050</xdr:rowOff>
    </xdr:from>
    <xdr:to>
      <xdr:col>10</xdr:col>
      <xdr:colOff>723900</xdr:colOff>
      <xdr:row>320</xdr:row>
      <xdr:rowOff>152400</xdr:rowOff>
    </xdr:to>
    <xdr:graphicFrame macro="">
      <xdr:nvGraphicFramePr>
        <xdr:cNvPr id="1140" name="Diagramm 16">
          <a:extLst>
            <a:ext uri="{FF2B5EF4-FFF2-40B4-BE49-F238E27FC236}">
              <a16:creationId xmlns:a16="http://schemas.microsoft.com/office/drawing/2014/main" id="{E266730B-7AEA-A2BF-804A-37E43B7C0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28575</xdr:colOff>
      <xdr:row>323</xdr:row>
      <xdr:rowOff>0</xdr:rowOff>
    </xdr:from>
    <xdr:to>
      <xdr:col>11</xdr:col>
      <xdr:colOff>0</xdr:colOff>
      <xdr:row>354</xdr:row>
      <xdr:rowOff>66675</xdr:rowOff>
    </xdr:to>
    <xdr:graphicFrame macro="">
      <xdr:nvGraphicFramePr>
        <xdr:cNvPr id="1141" name="Diagramm 17">
          <a:extLst>
            <a:ext uri="{FF2B5EF4-FFF2-40B4-BE49-F238E27FC236}">
              <a16:creationId xmlns:a16="http://schemas.microsoft.com/office/drawing/2014/main" id="{32330CDC-E792-9F88-3A91-EE1A07A07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3E639-8598-4431-B680-7736A4CC3E79}">
  <sheetPr codeName="Tabelle1" filterMode="1"/>
  <dimension ref="A1:EX268"/>
  <sheetViews>
    <sheetView tabSelected="1" zoomScale="115" zoomScaleNormal="115" zoomScaleSheetLayoutView="5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62" sqref="A62"/>
    </sheetView>
  </sheetViews>
  <sheetFormatPr baseColWidth="10" defaultRowHeight="18" customHeight="1" x14ac:dyDescent="0.2"/>
  <cols>
    <col min="1" max="1" width="62" style="1" customWidth="1"/>
    <col min="2" max="2" width="8.5703125" style="2" customWidth="1"/>
    <col min="3" max="3" width="8.7109375" style="18" customWidth="1"/>
    <col min="4" max="4" width="3.85546875" style="18" customWidth="1"/>
    <col min="5" max="5" width="6.7109375" customWidth="1"/>
    <col min="6" max="6" width="5.85546875" customWidth="1"/>
    <col min="7" max="11" width="5.7109375" customWidth="1"/>
    <col min="12" max="12" width="7.7109375" customWidth="1"/>
    <col min="13" max="13" width="3.85546875" customWidth="1"/>
    <col min="14" max="20" width="5.7109375" customWidth="1"/>
    <col min="21" max="21" width="6.85546875" customWidth="1"/>
    <col min="22" max="22" width="3.85546875" customWidth="1"/>
    <col min="23" max="29" width="5.7109375" customWidth="1"/>
    <col min="30" max="30" width="6.85546875" customWidth="1"/>
    <col min="31" max="31" width="3.85546875" customWidth="1"/>
    <col min="32" max="38" width="5.7109375" customWidth="1"/>
    <col min="39" max="39" width="6.85546875" customWidth="1"/>
    <col min="40" max="40" width="3.85546875" customWidth="1"/>
    <col min="41" max="47" width="5.7109375" customWidth="1"/>
    <col min="48" max="48" width="6.85546875" customWidth="1"/>
    <col min="49" max="49" width="3.85546875" customWidth="1"/>
    <col min="50" max="56" width="5.7109375" customWidth="1"/>
    <col min="57" max="57" width="6.85546875" customWidth="1"/>
    <col min="58" max="58" width="3.85546875" customWidth="1"/>
    <col min="59" max="65" width="5.7109375" customWidth="1"/>
    <col min="66" max="66" width="6.85546875" customWidth="1"/>
    <col min="67" max="67" width="3.85546875" customWidth="1"/>
    <col min="68" max="74" width="5.7109375" customWidth="1"/>
    <col min="75" max="75" width="6.85546875" customWidth="1"/>
    <col min="76" max="76" width="3.85546875" customWidth="1"/>
    <col min="77" max="83" width="5.7109375" customWidth="1"/>
    <col min="84" max="84" width="6.85546875" customWidth="1"/>
    <col min="85" max="85" width="3.85546875" customWidth="1"/>
    <col min="86" max="92" width="5.7109375" customWidth="1"/>
    <col min="93" max="93" width="6.85546875" customWidth="1"/>
    <col min="94" max="94" width="3.85546875" customWidth="1"/>
    <col min="95" max="101" width="5.7109375" customWidth="1"/>
    <col min="102" max="102" width="6.85546875" customWidth="1"/>
    <col min="103" max="103" width="3.85546875" customWidth="1"/>
    <col min="104" max="110" width="5.7109375" customWidth="1"/>
    <col min="111" max="111" width="6.85546875" customWidth="1"/>
    <col min="112" max="112" width="3.85546875" customWidth="1"/>
    <col min="113" max="119" width="5.7109375" customWidth="1"/>
    <col min="120" max="120" width="6.85546875" customWidth="1"/>
    <col min="121" max="121" width="3.85546875" customWidth="1"/>
    <col min="122" max="128" width="5.7109375" customWidth="1"/>
    <col min="129" max="129" width="6.85546875" customWidth="1"/>
    <col min="130" max="130" width="3.85546875" customWidth="1"/>
    <col min="131" max="146" width="5.7109375" customWidth="1"/>
    <col min="147" max="147" width="6.140625" customWidth="1"/>
    <col min="148" max="150" width="5.7109375" customWidth="1"/>
    <col min="151" max="152" width="6.28515625" customWidth="1"/>
    <col min="153" max="154" width="23.28515625" style="14" customWidth="1"/>
  </cols>
  <sheetData>
    <row r="1" spans="1:154" ht="18" customHeight="1" thickTop="1" x14ac:dyDescent="0.2">
      <c r="A1" s="293"/>
      <c r="B1" s="294"/>
      <c r="C1" s="273" t="s">
        <v>32</v>
      </c>
      <c r="D1" s="274"/>
      <c r="E1" s="297" t="s">
        <v>58</v>
      </c>
      <c r="F1" s="275"/>
      <c r="G1" s="275"/>
      <c r="H1" s="275"/>
      <c r="I1" s="275"/>
      <c r="J1" s="275"/>
      <c r="K1" s="276"/>
      <c r="L1" s="273" t="s">
        <v>32</v>
      </c>
      <c r="M1" s="274"/>
      <c r="N1" s="298" t="s">
        <v>43</v>
      </c>
      <c r="O1" s="275"/>
      <c r="P1" s="275"/>
      <c r="Q1" s="275"/>
      <c r="R1" s="275"/>
      <c r="S1" s="275"/>
      <c r="T1" s="276"/>
      <c r="U1" s="273" t="s">
        <v>32</v>
      </c>
      <c r="V1" s="274"/>
      <c r="W1" s="275" t="s">
        <v>42</v>
      </c>
      <c r="X1" s="275"/>
      <c r="Y1" s="275"/>
      <c r="Z1" s="275"/>
      <c r="AA1" s="275"/>
      <c r="AB1" s="275"/>
      <c r="AC1" s="276"/>
      <c r="AD1" s="273" t="s">
        <v>32</v>
      </c>
      <c r="AE1" s="274"/>
      <c r="AF1" s="275" t="s">
        <v>41</v>
      </c>
      <c r="AG1" s="275"/>
      <c r="AH1" s="275"/>
      <c r="AI1" s="275"/>
      <c r="AJ1" s="275"/>
      <c r="AK1" s="275"/>
      <c r="AL1" s="276"/>
      <c r="AM1" s="273" t="s">
        <v>32</v>
      </c>
      <c r="AN1" s="274"/>
      <c r="AO1" s="275" t="s">
        <v>10</v>
      </c>
      <c r="AP1" s="275"/>
      <c r="AQ1" s="275"/>
      <c r="AR1" s="275"/>
      <c r="AS1" s="275"/>
      <c r="AT1" s="275"/>
      <c r="AU1" s="276"/>
      <c r="AV1" s="273" t="s">
        <v>32</v>
      </c>
      <c r="AW1" s="274"/>
      <c r="AX1" s="275" t="s">
        <v>11</v>
      </c>
      <c r="AY1" s="275"/>
      <c r="AZ1" s="275"/>
      <c r="BA1" s="275"/>
      <c r="BB1" s="275"/>
      <c r="BC1" s="275"/>
      <c r="BD1" s="276"/>
      <c r="BE1" s="273" t="s">
        <v>32</v>
      </c>
      <c r="BF1" s="274"/>
      <c r="BG1" s="275" t="s">
        <v>12</v>
      </c>
      <c r="BH1" s="275"/>
      <c r="BI1" s="275"/>
      <c r="BJ1" s="275"/>
      <c r="BK1" s="275"/>
      <c r="BL1" s="275"/>
      <c r="BM1" s="276"/>
      <c r="BN1" s="273" t="s">
        <v>32</v>
      </c>
      <c r="BO1" s="274"/>
      <c r="BP1" s="275" t="s">
        <v>13</v>
      </c>
      <c r="BQ1" s="275"/>
      <c r="BR1" s="275"/>
      <c r="BS1" s="275"/>
      <c r="BT1" s="275"/>
      <c r="BU1" s="275"/>
      <c r="BV1" s="276"/>
      <c r="BW1" s="273" t="s">
        <v>32</v>
      </c>
      <c r="BX1" s="274"/>
      <c r="BY1" s="275" t="s">
        <v>14</v>
      </c>
      <c r="BZ1" s="275"/>
      <c r="CA1" s="275"/>
      <c r="CB1" s="275"/>
      <c r="CC1" s="275"/>
      <c r="CD1" s="275"/>
      <c r="CE1" s="276"/>
      <c r="CF1" s="273" t="s">
        <v>32</v>
      </c>
      <c r="CG1" s="274"/>
      <c r="CH1" s="275" t="s">
        <v>15</v>
      </c>
      <c r="CI1" s="275"/>
      <c r="CJ1" s="275"/>
      <c r="CK1" s="275"/>
      <c r="CL1" s="275"/>
      <c r="CM1" s="275"/>
      <c r="CN1" s="276"/>
      <c r="CO1" s="273" t="s">
        <v>32</v>
      </c>
      <c r="CP1" s="274"/>
      <c r="CQ1" s="275" t="s">
        <v>19</v>
      </c>
      <c r="CR1" s="275"/>
      <c r="CS1" s="275"/>
      <c r="CT1" s="275"/>
      <c r="CU1" s="275"/>
      <c r="CV1" s="275"/>
      <c r="CW1" s="276"/>
      <c r="CX1" s="273" t="s">
        <v>32</v>
      </c>
      <c r="CY1" s="274"/>
      <c r="CZ1" s="275" t="s">
        <v>20</v>
      </c>
      <c r="DA1" s="275"/>
      <c r="DB1" s="275"/>
      <c r="DC1" s="275"/>
      <c r="DD1" s="275"/>
      <c r="DE1" s="275"/>
      <c r="DF1" s="276"/>
      <c r="DG1" s="273" t="s">
        <v>32</v>
      </c>
      <c r="DH1" s="274"/>
      <c r="DI1" s="275" t="s">
        <v>21</v>
      </c>
      <c r="DJ1" s="275"/>
      <c r="DK1" s="275"/>
      <c r="DL1" s="275"/>
      <c r="DM1" s="275"/>
      <c r="DN1" s="275"/>
      <c r="DO1" s="276"/>
      <c r="DP1" s="273" t="s">
        <v>32</v>
      </c>
      <c r="DQ1" s="274"/>
      <c r="DR1" s="275" t="s">
        <v>22</v>
      </c>
      <c r="DS1" s="275"/>
      <c r="DT1" s="275"/>
      <c r="DU1" s="275"/>
      <c r="DV1" s="275"/>
      <c r="DW1" s="275"/>
      <c r="DX1" s="276"/>
      <c r="DY1" s="273" t="s">
        <v>32</v>
      </c>
      <c r="DZ1" s="274"/>
      <c r="EA1" s="282" t="s">
        <v>23</v>
      </c>
      <c r="EB1" s="275"/>
      <c r="EC1" s="275"/>
      <c r="ED1" s="275"/>
      <c r="EE1" s="275"/>
      <c r="EF1" s="275"/>
      <c r="EG1" s="276"/>
      <c r="EH1" s="112"/>
      <c r="EI1" s="284" t="s">
        <v>5</v>
      </c>
      <c r="EJ1" s="285"/>
      <c r="EK1" s="285"/>
      <c r="EL1" s="285"/>
      <c r="EM1" s="285"/>
      <c r="EN1" s="285"/>
      <c r="EO1" s="286"/>
      <c r="EP1" s="284" t="s">
        <v>6</v>
      </c>
      <c r="EQ1" s="285"/>
      <c r="ER1" s="285"/>
      <c r="ES1" s="285"/>
      <c r="ET1" s="285"/>
      <c r="EU1" s="285"/>
      <c r="EV1" s="286"/>
      <c r="EW1" s="271" t="s">
        <v>0</v>
      </c>
      <c r="EX1" s="268" t="s">
        <v>24</v>
      </c>
    </row>
    <row r="2" spans="1:154" ht="18" customHeight="1" thickBot="1" x14ac:dyDescent="0.25">
      <c r="A2" s="295"/>
      <c r="B2" s="296"/>
      <c r="C2" s="124" t="s">
        <v>33</v>
      </c>
      <c r="D2" s="120">
        <v>2</v>
      </c>
      <c r="E2" s="277" t="s">
        <v>4</v>
      </c>
      <c r="F2" s="278"/>
      <c r="G2" s="278"/>
      <c r="H2" s="278"/>
      <c r="I2" s="278"/>
      <c r="J2" s="278"/>
      <c r="K2" s="279"/>
      <c r="L2" s="124" t="s">
        <v>33</v>
      </c>
      <c r="M2" s="120">
        <v>2</v>
      </c>
      <c r="N2" s="277" t="s">
        <v>4</v>
      </c>
      <c r="O2" s="278"/>
      <c r="P2" s="278"/>
      <c r="Q2" s="278"/>
      <c r="R2" s="278"/>
      <c r="S2" s="278"/>
      <c r="T2" s="279"/>
      <c r="U2" s="124" t="s">
        <v>33</v>
      </c>
      <c r="V2" s="120">
        <v>2</v>
      </c>
      <c r="W2" s="277" t="s">
        <v>4</v>
      </c>
      <c r="X2" s="278"/>
      <c r="Y2" s="278"/>
      <c r="Z2" s="278"/>
      <c r="AA2" s="278"/>
      <c r="AB2" s="278"/>
      <c r="AC2" s="279"/>
      <c r="AD2" s="124" t="s">
        <v>33</v>
      </c>
      <c r="AE2" s="120">
        <v>2</v>
      </c>
      <c r="AF2" s="290" t="s">
        <v>4</v>
      </c>
      <c r="AG2" s="291"/>
      <c r="AH2" s="291"/>
      <c r="AI2" s="291"/>
      <c r="AJ2" s="291"/>
      <c r="AK2" s="291"/>
      <c r="AL2" s="292"/>
      <c r="AM2" s="124" t="s">
        <v>33</v>
      </c>
      <c r="AN2" s="120">
        <v>2</v>
      </c>
      <c r="AO2" s="277" t="s">
        <v>4</v>
      </c>
      <c r="AP2" s="278"/>
      <c r="AQ2" s="278"/>
      <c r="AR2" s="278"/>
      <c r="AS2" s="278"/>
      <c r="AT2" s="278"/>
      <c r="AU2" s="279"/>
      <c r="AV2" s="124" t="s">
        <v>33</v>
      </c>
      <c r="AW2" s="120">
        <v>2</v>
      </c>
      <c r="AX2" s="277" t="s">
        <v>4</v>
      </c>
      <c r="AY2" s="278"/>
      <c r="AZ2" s="278"/>
      <c r="BA2" s="278"/>
      <c r="BB2" s="278"/>
      <c r="BC2" s="278"/>
      <c r="BD2" s="279"/>
      <c r="BE2" s="124" t="s">
        <v>33</v>
      </c>
      <c r="BF2" s="120">
        <v>2</v>
      </c>
      <c r="BG2" s="277" t="s">
        <v>4</v>
      </c>
      <c r="BH2" s="278"/>
      <c r="BI2" s="278"/>
      <c r="BJ2" s="278"/>
      <c r="BK2" s="278"/>
      <c r="BL2" s="278"/>
      <c r="BM2" s="279"/>
      <c r="BN2" s="124" t="s">
        <v>33</v>
      </c>
      <c r="BO2" s="120">
        <v>2</v>
      </c>
      <c r="BP2" s="277" t="s">
        <v>4</v>
      </c>
      <c r="BQ2" s="278"/>
      <c r="BR2" s="278"/>
      <c r="BS2" s="278"/>
      <c r="BT2" s="278"/>
      <c r="BU2" s="278"/>
      <c r="BV2" s="279"/>
      <c r="BW2" s="124" t="s">
        <v>33</v>
      </c>
      <c r="BX2" s="120">
        <v>2</v>
      </c>
      <c r="BY2" s="277" t="s">
        <v>4</v>
      </c>
      <c r="BZ2" s="278"/>
      <c r="CA2" s="278"/>
      <c r="CB2" s="278"/>
      <c r="CC2" s="278"/>
      <c r="CD2" s="278"/>
      <c r="CE2" s="279"/>
      <c r="CF2" s="124" t="s">
        <v>33</v>
      </c>
      <c r="CG2" s="120">
        <v>2</v>
      </c>
      <c r="CH2" s="277" t="s">
        <v>4</v>
      </c>
      <c r="CI2" s="278"/>
      <c r="CJ2" s="278"/>
      <c r="CK2" s="278"/>
      <c r="CL2" s="278"/>
      <c r="CM2" s="278"/>
      <c r="CN2" s="279"/>
      <c r="CO2" s="124" t="s">
        <v>33</v>
      </c>
      <c r="CP2" s="120">
        <v>2</v>
      </c>
      <c r="CQ2" s="277" t="s">
        <v>4</v>
      </c>
      <c r="CR2" s="278"/>
      <c r="CS2" s="278"/>
      <c r="CT2" s="278"/>
      <c r="CU2" s="278"/>
      <c r="CV2" s="278"/>
      <c r="CW2" s="279"/>
      <c r="CX2" s="124" t="s">
        <v>33</v>
      </c>
      <c r="CY2" s="120">
        <v>2</v>
      </c>
      <c r="CZ2" s="277" t="s">
        <v>4</v>
      </c>
      <c r="DA2" s="278"/>
      <c r="DB2" s="278"/>
      <c r="DC2" s="278"/>
      <c r="DD2" s="278"/>
      <c r="DE2" s="278"/>
      <c r="DF2" s="279"/>
      <c r="DG2" s="124" t="s">
        <v>33</v>
      </c>
      <c r="DH2" s="120">
        <v>2</v>
      </c>
      <c r="DI2" s="277" t="s">
        <v>4</v>
      </c>
      <c r="DJ2" s="278"/>
      <c r="DK2" s="278"/>
      <c r="DL2" s="278"/>
      <c r="DM2" s="278"/>
      <c r="DN2" s="278"/>
      <c r="DO2" s="279"/>
      <c r="DP2" s="124" t="s">
        <v>33</v>
      </c>
      <c r="DQ2" s="120">
        <v>2</v>
      </c>
      <c r="DR2" s="277" t="s">
        <v>4</v>
      </c>
      <c r="DS2" s="278"/>
      <c r="DT2" s="278"/>
      <c r="DU2" s="278"/>
      <c r="DV2" s="278"/>
      <c r="DW2" s="278"/>
      <c r="DX2" s="279"/>
      <c r="DY2" s="124" t="s">
        <v>33</v>
      </c>
      <c r="DZ2" s="120">
        <v>2</v>
      </c>
      <c r="EA2" s="283" t="s">
        <v>4</v>
      </c>
      <c r="EB2" s="278"/>
      <c r="EC2" s="278"/>
      <c r="ED2" s="278"/>
      <c r="EE2" s="278"/>
      <c r="EF2" s="278"/>
      <c r="EG2" s="279"/>
      <c r="EH2" s="113"/>
      <c r="EI2" s="287"/>
      <c r="EJ2" s="288"/>
      <c r="EK2" s="288"/>
      <c r="EL2" s="288"/>
      <c r="EM2" s="288"/>
      <c r="EN2" s="288"/>
      <c r="EO2" s="289"/>
      <c r="EP2" s="287"/>
      <c r="EQ2" s="288"/>
      <c r="ER2" s="288"/>
      <c r="ES2" s="288"/>
      <c r="ET2" s="288"/>
      <c r="EU2" s="288"/>
      <c r="EV2" s="289"/>
      <c r="EW2" s="272"/>
      <c r="EX2" s="269"/>
    </row>
    <row r="3" spans="1:154" ht="18" customHeight="1" thickTop="1" thickBot="1" x14ac:dyDescent="0.25">
      <c r="A3" s="121" t="s">
        <v>46</v>
      </c>
      <c r="B3" s="122" t="s">
        <v>30</v>
      </c>
      <c r="C3" s="72" t="s">
        <v>16</v>
      </c>
      <c r="D3" s="73" t="s">
        <v>31</v>
      </c>
      <c r="E3" s="51" t="s">
        <v>1</v>
      </c>
      <c r="F3" s="52" t="s">
        <v>2</v>
      </c>
      <c r="G3" s="53" t="s">
        <v>3</v>
      </c>
      <c r="H3" s="53">
        <v>0</v>
      </c>
      <c r="I3" s="54">
        <v>0.1</v>
      </c>
      <c r="J3" s="54">
        <v>0.5</v>
      </c>
      <c r="K3" s="55">
        <v>1</v>
      </c>
      <c r="L3" s="56" t="s">
        <v>16</v>
      </c>
      <c r="M3" s="50" t="s">
        <v>31</v>
      </c>
      <c r="N3" s="57" t="s">
        <v>1</v>
      </c>
      <c r="O3" s="52" t="s">
        <v>2</v>
      </c>
      <c r="P3" s="53" t="s">
        <v>3</v>
      </c>
      <c r="Q3" s="53">
        <v>0</v>
      </c>
      <c r="R3" s="54">
        <v>0.1</v>
      </c>
      <c r="S3" s="54">
        <v>0.5</v>
      </c>
      <c r="T3" s="58">
        <v>1</v>
      </c>
      <c r="U3" s="59" t="s">
        <v>16</v>
      </c>
      <c r="V3" s="50" t="s">
        <v>31</v>
      </c>
      <c r="W3" s="57" t="s">
        <v>1</v>
      </c>
      <c r="X3" s="52" t="s">
        <v>2</v>
      </c>
      <c r="Y3" s="53" t="s">
        <v>3</v>
      </c>
      <c r="Z3" s="53">
        <v>0</v>
      </c>
      <c r="AA3" s="54">
        <v>0.1</v>
      </c>
      <c r="AB3" s="54">
        <v>0.5</v>
      </c>
      <c r="AC3" s="58">
        <v>1</v>
      </c>
      <c r="AD3" s="49" t="s">
        <v>16</v>
      </c>
      <c r="AE3" s="50" t="s">
        <v>31</v>
      </c>
      <c r="AF3" s="57" t="s">
        <v>1</v>
      </c>
      <c r="AG3" s="52" t="s">
        <v>2</v>
      </c>
      <c r="AH3" s="53" t="s">
        <v>3</v>
      </c>
      <c r="AI3" s="53">
        <v>0</v>
      </c>
      <c r="AJ3" s="54">
        <v>0.1</v>
      </c>
      <c r="AK3" s="54">
        <v>0.5</v>
      </c>
      <c r="AL3" s="58">
        <v>1</v>
      </c>
      <c r="AM3" s="60" t="s">
        <v>16</v>
      </c>
      <c r="AN3" s="50" t="s">
        <v>31</v>
      </c>
      <c r="AO3" s="57" t="s">
        <v>1</v>
      </c>
      <c r="AP3" s="52" t="s">
        <v>2</v>
      </c>
      <c r="AQ3" s="53" t="s">
        <v>3</v>
      </c>
      <c r="AR3" s="53">
        <v>0</v>
      </c>
      <c r="AS3" s="54">
        <v>0.1</v>
      </c>
      <c r="AT3" s="54">
        <v>0.5</v>
      </c>
      <c r="AU3" s="58">
        <v>1</v>
      </c>
      <c r="AV3" s="60" t="s">
        <v>16</v>
      </c>
      <c r="AW3" s="50" t="s">
        <v>31</v>
      </c>
      <c r="AX3" s="57" t="s">
        <v>1</v>
      </c>
      <c r="AY3" s="52" t="s">
        <v>2</v>
      </c>
      <c r="AZ3" s="53" t="s">
        <v>3</v>
      </c>
      <c r="BA3" s="53">
        <v>0</v>
      </c>
      <c r="BB3" s="54">
        <v>0.1</v>
      </c>
      <c r="BC3" s="54">
        <v>0.5</v>
      </c>
      <c r="BD3" s="58">
        <v>1</v>
      </c>
      <c r="BE3" s="60" t="s">
        <v>16</v>
      </c>
      <c r="BF3" s="50" t="s">
        <v>31</v>
      </c>
      <c r="BG3" s="57" t="s">
        <v>1</v>
      </c>
      <c r="BH3" s="52" t="s">
        <v>2</v>
      </c>
      <c r="BI3" s="53" t="s">
        <v>3</v>
      </c>
      <c r="BJ3" s="53">
        <v>0</v>
      </c>
      <c r="BK3" s="54">
        <v>0.1</v>
      </c>
      <c r="BL3" s="54">
        <v>0.5</v>
      </c>
      <c r="BM3" s="58">
        <v>1</v>
      </c>
      <c r="BN3" s="60" t="s">
        <v>16</v>
      </c>
      <c r="BO3" s="50" t="s">
        <v>31</v>
      </c>
      <c r="BP3" s="57" t="s">
        <v>1</v>
      </c>
      <c r="BQ3" s="52" t="s">
        <v>2</v>
      </c>
      <c r="BR3" s="53" t="s">
        <v>3</v>
      </c>
      <c r="BS3" s="53">
        <v>0</v>
      </c>
      <c r="BT3" s="54">
        <v>0.1</v>
      </c>
      <c r="BU3" s="54">
        <v>0.5</v>
      </c>
      <c r="BV3" s="58">
        <v>1</v>
      </c>
      <c r="BW3" s="60" t="s">
        <v>16</v>
      </c>
      <c r="BX3" s="50" t="s">
        <v>31</v>
      </c>
      <c r="BY3" s="57" t="s">
        <v>1</v>
      </c>
      <c r="BZ3" s="52" t="s">
        <v>2</v>
      </c>
      <c r="CA3" s="53" t="s">
        <v>3</v>
      </c>
      <c r="CB3" s="53">
        <v>0</v>
      </c>
      <c r="CC3" s="54">
        <v>0.1</v>
      </c>
      <c r="CD3" s="54">
        <v>0.5</v>
      </c>
      <c r="CE3" s="58">
        <v>1</v>
      </c>
      <c r="CF3" s="60" t="s">
        <v>16</v>
      </c>
      <c r="CG3" s="50" t="s">
        <v>31</v>
      </c>
      <c r="CH3" s="57" t="s">
        <v>1</v>
      </c>
      <c r="CI3" s="52" t="s">
        <v>2</v>
      </c>
      <c r="CJ3" s="53" t="s">
        <v>3</v>
      </c>
      <c r="CK3" s="53">
        <v>0</v>
      </c>
      <c r="CL3" s="54">
        <v>0.1</v>
      </c>
      <c r="CM3" s="54">
        <v>0.5</v>
      </c>
      <c r="CN3" s="58">
        <v>1</v>
      </c>
      <c r="CO3" s="60" t="s">
        <v>16</v>
      </c>
      <c r="CP3" s="50" t="s">
        <v>31</v>
      </c>
      <c r="CQ3" s="57" t="s">
        <v>1</v>
      </c>
      <c r="CR3" s="52" t="s">
        <v>2</v>
      </c>
      <c r="CS3" s="53" t="s">
        <v>3</v>
      </c>
      <c r="CT3" s="53">
        <v>0</v>
      </c>
      <c r="CU3" s="54">
        <v>0.1</v>
      </c>
      <c r="CV3" s="54">
        <v>0.5</v>
      </c>
      <c r="CW3" s="58">
        <v>1</v>
      </c>
      <c r="CX3" s="60" t="s">
        <v>16</v>
      </c>
      <c r="CY3" s="50" t="s">
        <v>31</v>
      </c>
      <c r="CZ3" s="57" t="s">
        <v>1</v>
      </c>
      <c r="DA3" s="52" t="s">
        <v>2</v>
      </c>
      <c r="DB3" s="53" t="s">
        <v>3</v>
      </c>
      <c r="DC3" s="53">
        <v>0</v>
      </c>
      <c r="DD3" s="54">
        <v>0.1</v>
      </c>
      <c r="DE3" s="54">
        <v>0.5</v>
      </c>
      <c r="DF3" s="58">
        <v>1</v>
      </c>
      <c r="DG3" s="60" t="s">
        <v>16</v>
      </c>
      <c r="DH3" s="50" t="s">
        <v>31</v>
      </c>
      <c r="DI3" s="57" t="s">
        <v>1</v>
      </c>
      <c r="DJ3" s="52" t="s">
        <v>2</v>
      </c>
      <c r="DK3" s="53" t="s">
        <v>3</v>
      </c>
      <c r="DL3" s="53">
        <v>0</v>
      </c>
      <c r="DM3" s="54">
        <v>0.1</v>
      </c>
      <c r="DN3" s="54">
        <v>0.5</v>
      </c>
      <c r="DO3" s="58">
        <v>1</v>
      </c>
      <c r="DP3" s="60" t="s">
        <v>16</v>
      </c>
      <c r="DQ3" s="59"/>
      <c r="DR3" s="57" t="s">
        <v>1</v>
      </c>
      <c r="DS3" s="52" t="s">
        <v>2</v>
      </c>
      <c r="DT3" s="53" t="s">
        <v>3</v>
      </c>
      <c r="DU3" s="53">
        <v>0</v>
      </c>
      <c r="DV3" s="54">
        <v>0.1</v>
      </c>
      <c r="DW3" s="54">
        <v>0.5</v>
      </c>
      <c r="DX3" s="58">
        <v>1</v>
      </c>
      <c r="DY3" s="60" t="s">
        <v>16</v>
      </c>
      <c r="DZ3" s="108" t="s">
        <v>31</v>
      </c>
      <c r="EA3" s="57" t="s">
        <v>1</v>
      </c>
      <c r="EB3" s="52" t="s">
        <v>2</v>
      </c>
      <c r="EC3" s="53" t="s">
        <v>3</v>
      </c>
      <c r="ED3" s="53">
        <v>0</v>
      </c>
      <c r="EE3" s="54">
        <v>0.1</v>
      </c>
      <c r="EF3" s="54">
        <v>0.5</v>
      </c>
      <c r="EG3" s="58">
        <v>1</v>
      </c>
      <c r="EH3" s="48" t="s">
        <v>17</v>
      </c>
      <c r="EI3" s="41" t="s">
        <v>1</v>
      </c>
      <c r="EJ3" s="42" t="s">
        <v>2</v>
      </c>
      <c r="EK3" s="43" t="s">
        <v>3</v>
      </c>
      <c r="EL3" s="43">
        <v>0</v>
      </c>
      <c r="EM3" s="44">
        <v>0.1</v>
      </c>
      <c r="EN3" s="44">
        <v>0.5</v>
      </c>
      <c r="EO3" s="45">
        <v>1</v>
      </c>
      <c r="EP3" s="41" t="s">
        <v>1</v>
      </c>
      <c r="EQ3" s="42" t="s">
        <v>2</v>
      </c>
      <c r="ER3" s="43" t="s">
        <v>3</v>
      </c>
      <c r="ES3" s="43">
        <v>0</v>
      </c>
      <c r="ET3" s="44">
        <v>0.1</v>
      </c>
      <c r="EU3" s="44">
        <v>0.5</v>
      </c>
      <c r="EV3" s="45">
        <v>1</v>
      </c>
      <c r="EW3" s="272"/>
      <c r="EX3" s="270"/>
    </row>
    <row r="4" spans="1:154" ht="18" customHeight="1" thickTop="1" thickBot="1" x14ac:dyDescent="0.3">
      <c r="A4" s="254" t="s">
        <v>59</v>
      </c>
      <c r="B4" s="255"/>
      <c r="C4" s="150">
        <f>IF(E$1="Wettkampf 1",0,IF(B4&gt;0,1,0))</f>
        <v>0</v>
      </c>
      <c r="D4" s="47">
        <v>0</v>
      </c>
      <c r="E4" s="125"/>
      <c r="F4" s="126"/>
      <c r="G4" s="127"/>
      <c r="H4" s="127"/>
      <c r="I4" s="127"/>
      <c r="J4" s="127"/>
      <c r="K4" s="128"/>
      <c r="L4" s="38">
        <f t="shared" ref="L4:L62" si="0">IF(N$1="Wettkampf 2",0,IF(C4=1,1,0))</f>
        <v>0</v>
      </c>
      <c r="M4" s="47">
        <v>0</v>
      </c>
      <c r="N4" s="139"/>
      <c r="O4" s="127"/>
      <c r="P4" s="127"/>
      <c r="Q4" s="127"/>
      <c r="R4" s="127"/>
      <c r="S4" s="127"/>
      <c r="T4" s="128"/>
      <c r="U4" s="38">
        <f t="shared" ref="U4:U62" si="1">IF(W$1="Wettkampf 3",0,IF(L4=1,1,0))</f>
        <v>0</v>
      </c>
      <c r="V4" s="47">
        <v>0</v>
      </c>
      <c r="W4" s="46"/>
      <c r="X4" s="46"/>
      <c r="Y4" s="46"/>
      <c r="Z4" s="46"/>
      <c r="AA4" s="46"/>
      <c r="AB4" s="46"/>
      <c r="AC4" s="46"/>
      <c r="AD4" s="38">
        <f t="shared" ref="AD4:AD62" si="2">IF(AF$1="Wettkampf 4",0,IF(U4=1,1,0))</f>
        <v>0</v>
      </c>
      <c r="AE4" s="47">
        <v>0</v>
      </c>
      <c r="AF4" s="46"/>
      <c r="AG4" s="46"/>
      <c r="AH4" s="46"/>
      <c r="AI4" s="46"/>
      <c r="AJ4" s="46"/>
      <c r="AK4" s="46"/>
      <c r="AL4" s="46"/>
      <c r="AM4" s="38">
        <f>IF(AO$1="Wettkampf 5",0,IF(AD4=1,1,0))</f>
        <v>0</v>
      </c>
      <c r="AN4" s="47">
        <v>0</v>
      </c>
      <c r="AO4" s="46"/>
      <c r="AP4" s="46"/>
      <c r="AQ4" s="46"/>
      <c r="AR4" s="46"/>
      <c r="AS4" s="46"/>
      <c r="AT4" s="46"/>
      <c r="AU4" s="46"/>
      <c r="AV4" s="38">
        <f>IF(AX$1="Wettkampf 6",0,IF(AM4=1,1,0))</f>
        <v>0</v>
      </c>
      <c r="AW4" s="47">
        <v>0</v>
      </c>
      <c r="AX4" s="46"/>
      <c r="AY4" s="46"/>
      <c r="AZ4" s="46"/>
      <c r="BA4" s="46"/>
      <c r="BB4" s="46"/>
      <c r="BC4" s="46"/>
      <c r="BD4" s="46"/>
      <c r="BE4" s="38">
        <f>IF(BG$1="Wettkampf 7",0,IF(AV4=1,1,0))</f>
        <v>0</v>
      </c>
      <c r="BF4" s="47">
        <v>0</v>
      </c>
      <c r="BG4" s="46"/>
      <c r="BH4" s="46"/>
      <c r="BI4" s="46"/>
      <c r="BJ4" s="46"/>
      <c r="BK4" s="46"/>
      <c r="BL4" s="46"/>
      <c r="BM4" s="46"/>
      <c r="BN4" s="38">
        <f>IF(BP$1="Wettkampf 8",0,IF(BE4=1,1,0))</f>
        <v>0</v>
      </c>
      <c r="BO4" s="47">
        <v>0</v>
      </c>
      <c r="BP4" s="46"/>
      <c r="BQ4" s="46"/>
      <c r="BR4" s="46"/>
      <c r="BS4" s="46"/>
      <c r="BT4" s="46"/>
      <c r="BU4" s="46"/>
      <c r="BV4" s="46"/>
      <c r="BW4" s="38">
        <f>IF(BY$1="Wettkampf 9",0,IF(BN4=1,1,0))</f>
        <v>0</v>
      </c>
      <c r="BX4" s="47">
        <v>0</v>
      </c>
      <c r="BY4" s="46"/>
      <c r="BZ4" s="46"/>
      <c r="CA4" s="46"/>
      <c r="CB4" s="46"/>
      <c r="CC4" s="46"/>
      <c r="CD4" s="46"/>
      <c r="CE4" s="46"/>
      <c r="CF4" s="38">
        <f>IF(CH$1="Wettkampf 10",0,IF(BW4=1,1,0))</f>
        <v>0</v>
      </c>
      <c r="CG4" s="47">
        <v>0</v>
      </c>
      <c r="CH4" s="46"/>
      <c r="CI4" s="46"/>
      <c r="CJ4" s="46"/>
      <c r="CK4" s="46"/>
      <c r="CL4" s="46"/>
      <c r="CM4" s="46"/>
      <c r="CN4" s="46"/>
      <c r="CO4" s="38">
        <f>IF(CQ$1="Wettkampf 11",0,IF(CF4=1,1,0))</f>
        <v>0</v>
      </c>
      <c r="CP4" s="47">
        <v>0</v>
      </c>
      <c r="CQ4" s="46"/>
      <c r="CR4" s="46"/>
      <c r="CS4" s="46"/>
      <c r="CT4" s="46"/>
      <c r="CU4" s="46"/>
      <c r="CV4" s="46"/>
      <c r="CW4" s="46"/>
      <c r="CX4" s="38">
        <f>IF(CZ$1="Wettkampf 12",0,IF(CO4=1,1,0))</f>
        <v>0</v>
      </c>
      <c r="CY4" s="47">
        <v>0</v>
      </c>
      <c r="CZ4" s="46"/>
      <c r="DA4" s="46"/>
      <c r="DB4" s="46"/>
      <c r="DC4" s="46"/>
      <c r="DD4" s="46"/>
      <c r="DE4" s="46"/>
      <c r="DF4" s="46"/>
      <c r="DG4" s="38">
        <f>IF(DI$1="Wettkampf 13",0,IF(CX4=1,1,0))</f>
        <v>0</v>
      </c>
      <c r="DH4" s="47">
        <v>0</v>
      </c>
      <c r="DI4" s="46"/>
      <c r="DJ4" s="46"/>
      <c r="DK4" s="46"/>
      <c r="DL4" s="46"/>
      <c r="DM4" s="46"/>
      <c r="DN4" s="46"/>
      <c r="DO4" s="46"/>
      <c r="DP4" s="38">
        <f>IF(DR$1="Wettkampf 14",0,IF(DG4=1,1,0))</f>
        <v>0</v>
      </c>
      <c r="DQ4" s="47">
        <v>0</v>
      </c>
      <c r="DR4" s="46"/>
      <c r="DS4" s="46"/>
      <c r="DT4" s="46"/>
      <c r="DU4" s="46"/>
      <c r="DV4" s="46"/>
      <c r="DW4" s="46"/>
      <c r="DX4" s="46"/>
      <c r="DY4" s="38">
        <f>IF(EA$1="Wettkampf 15",0,IF(DP4=1,1,0))</f>
        <v>0</v>
      </c>
      <c r="DZ4" s="109">
        <v>0</v>
      </c>
      <c r="EA4" s="116"/>
      <c r="EB4" s="46"/>
      <c r="EC4" s="46"/>
      <c r="ED4" s="46"/>
      <c r="EE4" s="46"/>
      <c r="EF4" s="46"/>
      <c r="EG4" s="117"/>
      <c r="EH4" s="114">
        <f>(CF4+BW4+BN4+BE4+AV4+AM4+AD4+U4+L4+C4+CO4+CX4+DG4+DP4+DY4)</f>
        <v>0</v>
      </c>
      <c r="EI4" s="74">
        <f t="shared" ref="EI4:EO4" si="3">(E4/$D$2)+(N4/$M$2)+(W4/$V$2)+(AF4/$AE$2)+(AO4/$AN$2)+(AX4/$AW$2)+(BG4/$BF$2)+(BP4/$BO$2)+(BY4/$BX$2)+(CH4/$CG$2)+(CQ4/$CP$2)+(CZ4/$CY$2)+(DI4/$DH$2)+(DR4/$DQ$2)+(EA4/$DZ$2)</f>
        <v>0</v>
      </c>
      <c r="EJ4" s="75">
        <f t="shared" si="3"/>
        <v>0</v>
      </c>
      <c r="EK4" s="75">
        <f t="shared" si="3"/>
        <v>0</v>
      </c>
      <c r="EL4" s="75">
        <f t="shared" si="3"/>
        <v>0</v>
      </c>
      <c r="EM4" s="75">
        <f t="shared" si="3"/>
        <v>0</v>
      </c>
      <c r="EN4" s="75">
        <f t="shared" si="3"/>
        <v>0</v>
      </c>
      <c r="EO4" s="76">
        <f t="shared" si="3"/>
        <v>0</v>
      </c>
      <c r="EP4" s="71">
        <f>IF(EH4=0,0,EI4*0.2)</f>
        <v>0</v>
      </c>
      <c r="EQ4" s="71">
        <f>IF(EH4=0,0,EJ4*0.5)</f>
        <v>0</v>
      </c>
      <c r="ER4" s="71">
        <f>IF(EH4=0,0,EK4*1)</f>
        <v>0</v>
      </c>
      <c r="ES4" s="71">
        <f>IF(EH4=0,0,EL4*2)</f>
        <v>0</v>
      </c>
      <c r="ET4" s="71">
        <f t="shared" ref="ET4:ET35" si="4">IF($EH4=0,0,((I75/$D$2)+(R75/$M$2)+(AA75/$V$2)+(AJ75/$AE$2)+(AS75/$AN$2)+(BB75/$AW$2)+(BK75/$BF$2)+(BT75/$BO$2)+(CC75/$BX$2)+(CL75/$CG$2)+(CU75/$CP$2)+(DD75/$CY$2)+(DM75/$DH$2)+(DV75/$DQ$2)+(EE75/$DZ$2)))</f>
        <v>0</v>
      </c>
      <c r="EU4" s="71">
        <f t="shared" ref="EU4:EU35" si="5">IF($EH4=0,0,((J75/$D$2)+(S75/$M$2)+(AB75/$V$2)+(AK75/$AE$2)+(AT75/$AN$2)+(BC75/$AW$2)+(BL75/$BF$2)+(BU75/$BO$2)+(CD75/$BX$2)+(CM75/$CG$2)+(CV75/$CP$2)+(DE75/$CY$2)+(DN75/$DH$2)+(DW75/$DQ$2)+(EF75/$DZ$2)))</f>
        <v>0</v>
      </c>
      <c r="EV4" s="71">
        <f t="shared" ref="EV4:EV35" si="6">IF($EH4=0,0,((K75/$D$2)+(T75/$M$2)+(AC75/$V$2)+(AL75/$AE$2)+(AU75/$AN$2)+(BD75/$AW$2)+(BM75/$BF$2)+(BV75/$BO$2)+(CE75/$BX$2)+(CN75/$CG$2)+(CW75/$CP$2)+(DF75/$CY$2)+(DO75/$DH$2)+(DX75/$DQ$2)+(EG75/$DZ$2)))</f>
        <v>0</v>
      </c>
      <c r="EW4" s="15" t="e">
        <f t="shared" ref="EW4:EW35" si="7">SUM(EP4:EV4)/EH4*EH4</f>
        <v>#DIV/0!</v>
      </c>
      <c r="EX4" s="15" t="e">
        <f t="shared" ref="EX4:EX35" si="8">SUM(EP4:EV4)/EH4</f>
        <v>#DIV/0!</v>
      </c>
    </row>
    <row r="5" spans="1:154" ht="18" customHeight="1" thickBot="1" x14ac:dyDescent="0.3">
      <c r="A5" s="256"/>
      <c r="B5" s="257"/>
      <c r="C5" s="150">
        <v>0</v>
      </c>
      <c r="D5" s="37">
        <v>0</v>
      </c>
      <c r="E5" s="125"/>
      <c r="F5" s="126"/>
      <c r="G5" s="126"/>
      <c r="H5" s="126"/>
      <c r="I5" s="126"/>
      <c r="J5" s="126"/>
      <c r="K5" s="129"/>
      <c r="L5" s="38">
        <f t="shared" si="0"/>
        <v>0</v>
      </c>
      <c r="M5" s="37">
        <v>0</v>
      </c>
      <c r="N5" s="125"/>
      <c r="O5" s="126"/>
      <c r="P5" s="126"/>
      <c r="Q5" s="126"/>
      <c r="R5" s="126"/>
      <c r="S5" s="126"/>
      <c r="T5" s="129"/>
      <c r="U5" s="38">
        <f t="shared" si="1"/>
        <v>0</v>
      </c>
      <c r="V5" s="37">
        <v>0</v>
      </c>
      <c r="W5" s="46"/>
      <c r="X5" s="46"/>
      <c r="Y5" s="46"/>
      <c r="Z5" s="46"/>
      <c r="AA5" s="46"/>
      <c r="AB5" s="46"/>
      <c r="AC5" s="46"/>
      <c r="AD5" s="38">
        <f t="shared" si="2"/>
        <v>0</v>
      </c>
      <c r="AE5" s="37">
        <v>0</v>
      </c>
      <c r="AF5" s="46"/>
      <c r="AG5" s="46"/>
      <c r="AH5" s="46"/>
      <c r="AI5" s="46"/>
      <c r="AJ5" s="46"/>
      <c r="AK5" s="46"/>
      <c r="AL5" s="46"/>
      <c r="AM5" s="38">
        <f t="shared" ref="AM5:AM62" si="9">IF(AO$1="Wettkampf 5",0,IF(AD5=1,1,0))</f>
        <v>0</v>
      </c>
      <c r="AN5" s="37">
        <v>0</v>
      </c>
      <c r="AO5" s="46"/>
      <c r="AP5" s="46"/>
      <c r="AQ5" s="46"/>
      <c r="AR5" s="46"/>
      <c r="AS5" s="46"/>
      <c r="AT5" s="46"/>
      <c r="AU5" s="46"/>
      <c r="AV5" s="38">
        <f t="shared" ref="AV5:AV62" si="10">IF(AX$1="Wettkampf 6",0,IF(AM5=1,1,0))</f>
        <v>0</v>
      </c>
      <c r="AW5" s="37">
        <v>0</v>
      </c>
      <c r="AX5" s="46"/>
      <c r="AY5" s="46"/>
      <c r="AZ5" s="46"/>
      <c r="BA5" s="46"/>
      <c r="BB5" s="46"/>
      <c r="BC5" s="46"/>
      <c r="BD5" s="46"/>
      <c r="BE5" s="38">
        <f t="shared" ref="BE5:BE62" si="11">IF(BG$1="Wettkampf 7",0,IF(AV5=1,1,0))</f>
        <v>0</v>
      </c>
      <c r="BF5" s="37">
        <v>0</v>
      </c>
      <c r="BG5" s="46"/>
      <c r="BH5" s="46"/>
      <c r="BI5" s="46"/>
      <c r="BJ5" s="46"/>
      <c r="BK5" s="46"/>
      <c r="BL5" s="46"/>
      <c r="BM5" s="46"/>
      <c r="BN5" s="38">
        <f t="shared" ref="BN5:BN61" si="12">IF(BP$1="Wettkampf 8",0,IF(BE5=1,1,0))</f>
        <v>0</v>
      </c>
      <c r="BO5" s="37">
        <v>0</v>
      </c>
      <c r="BP5" s="46"/>
      <c r="BQ5" s="46"/>
      <c r="BR5" s="46"/>
      <c r="BS5" s="46"/>
      <c r="BT5" s="46"/>
      <c r="BU5" s="46"/>
      <c r="BV5" s="46"/>
      <c r="BW5" s="38">
        <f t="shared" ref="BW5:BW62" si="13">IF(BY$1="Wettkampf 9",0,IF(BN5=1,1,0))</f>
        <v>0</v>
      </c>
      <c r="BX5" s="37">
        <v>0</v>
      </c>
      <c r="BY5" s="46"/>
      <c r="BZ5" s="46"/>
      <c r="CA5" s="46"/>
      <c r="CB5" s="46"/>
      <c r="CC5" s="46"/>
      <c r="CD5" s="46"/>
      <c r="CE5" s="46"/>
      <c r="CF5" s="38">
        <f t="shared" ref="CF5:CF62" si="14">IF(CH$1="Wettkampf 10",0,IF(BW5=1,1,0))</f>
        <v>0</v>
      </c>
      <c r="CG5" s="37">
        <v>0</v>
      </c>
      <c r="CH5" s="46"/>
      <c r="CI5" s="46"/>
      <c r="CJ5" s="46"/>
      <c r="CK5" s="46"/>
      <c r="CL5" s="46"/>
      <c r="CM5" s="46"/>
      <c r="CN5" s="46"/>
      <c r="CO5" s="38">
        <f t="shared" ref="CO5:CO62" si="15">IF(CQ$1="Wettkampf 11",0,IF(CF5=1,1,0))</f>
        <v>0</v>
      </c>
      <c r="CP5" s="37">
        <v>0</v>
      </c>
      <c r="CQ5" s="46"/>
      <c r="CR5" s="46"/>
      <c r="CS5" s="46"/>
      <c r="CT5" s="46"/>
      <c r="CU5" s="46"/>
      <c r="CV5" s="46"/>
      <c r="CW5" s="46"/>
      <c r="CX5" s="38">
        <f t="shared" ref="CX5:CX62" si="16">IF(CZ$1="Wettkampf 12",0,IF(CO5=1,1,0))</f>
        <v>0</v>
      </c>
      <c r="CY5" s="37">
        <v>0</v>
      </c>
      <c r="CZ5" s="46"/>
      <c r="DA5" s="46"/>
      <c r="DB5" s="46"/>
      <c r="DC5" s="46"/>
      <c r="DD5" s="46"/>
      <c r="DE5" s="46"/>
      <c r="DF5" s="46"/>
      <c r="DG5" s="38">
        <f t="shared" ref="DG5:DG62" si="17">IF(DI$1="Wettkampf 13",0,IF(CX5=1,1,0))</f>
        <v>0</v>
      </c>
      <c r="DH5" s="37">
        <v>0</v>
      </c>
      <c r="DI5" s="46"/>
      <c r="DJ5" s="46"/>
      <c r="DK5" s="46"/>
      <c r="DL5" s="46"/>
      <c r="DM5" s="46"/>
      <c r="DN5" s="46"/>
      <c r="DO5" s="46"/>
      <c r="DP5" s="38">
        <f t="shared" ref="DP5:DP62" si="18">IF(DR$1="Wettkampf 14",0,IF(DG5=1,1,0))</f>
        <v>0</v>
      </c>
      <c r="DQ5" s="37">
        <v>0</v>
      </c>
      <c r="DR5" s="46"/>
      <c r="DS5" s="46"/>
      <c r="DT5" s="46"/>
      <c r="DU5" s="46"/>
      <c r="DV5" s="46"/>
      <c r="DW5" s="46"/>
      <c r="DX5" s="46"/>
      <c r="DY5" s="38">
        <f t="shared" ref="DY5:DY62" si="19">IF(EA$1="Wettkampf 15",0,IF(DP5=1,1,0))</f>
        <v>0</v>
      </c>
      <c r="DZ5" s="110">
        <v>0</v>
      </c>
      <c r="EA5" s="116"/>
      <c r="EB5" s="46"/>
      <c r="EC5" s="46"/>
      <c r="ED5" s="46"/>
      <c r="EE5" s="46"/>
      <c r="EF5" s="46"/>
      <c r="EG5" s="117"/>
      <c r="EH5" s="114">
        <f t="shared" ref="EH5:EH62" si="20">(CF5+BW5+BN5+BE5+AV5+AM5+AD5+U5+L5+C5+CO5+CX5+DG5+DP5+DY5)</f>
        <v>0</v>
      </c>
      <c r="EI5" s="74">
        <f t="shared" ref="EI5:EI62" si="21">(E5/$D$2)+(N5/$M$2)+(W5/$V$2)+(AF5/$AE$2)+(AO5/$AN$2)+(AX5/$AW$2)+(BG5/$BF$2)+(BP5/$BO$2)+(BY5/$BX$2)+(CH5/$CG$2)+(CQ5/$CP$2)+(CZ5/$CY$2)+(DI5/$DH$2)+(DR5/$DQ$2)+(EA5/$DZ$2)</f>
        <v>0</v>
      </c>
      <c r="EJ5" s="75">
        <f t="shared" ref="EJ5:EJ62" si="22">(F5/$D$2)+(O5/$M$2)+(X5/$V$2)+(AG5/$AE$2)+(AP5/$AN$2)+(AY5/$AW$2)+(BH5/$BF$2)+(BQ5/$BO$2)+(BZ5/$BX$2)+(CI5/$CG$2)+(CR5/$CP$2)+(DA5/$CY$2)+(DJ5/$DH$2)+(DS5/$DQ$2)+(EB5/$DZ$2)</f>
        <v>0</v>
      </c>
      <c r="EK5" s="75">
        <f t="shared" ref="EK5:EK62" si="23">(G5/$D$2)+(P5/$M$2)+(Y5/$V$2)+(AH5/$AE$2)+(AQ5/$AN$2)+(AZ5/$AW$2)+(BI5/$BF$2)+(BR5/$BO$2)+(CA5/$BX$2)+(CJ5/$CG$2)+(CS5/$CP$2)+(DB5/$CY$2)+(DK5/$DH$2)+(DT5/$DQ$2)+(EC5/$DZ$2)</f>
        <v>0</v>
      </c>
      <c r="EL5" s="75">
        <f t="shared" ref="EL5:EL62" si="24">(H5/$D$2)+(Q5/$M$2)+(Z5/$V$2)+(AI5/$AE$2)+(AR5/$AN$2)+(BA5/$AW$2)+(BJ5/$BF$2)+(BS5/$BO$2)+(CB5/$BX$2)+(CK5/$CG$2)+(CT5/$CP$2)+(DC5/$CY$2)+(DL5/$DH$2)+(DU5/$DQ$2)+(ED5/$DZ$2)</f>
        <v>0</v>
      </c>
      <c r="EM5" s="75">
        <f t="shared" ref="EM5:EM62" si="25">(I5/$D$2)+(R5/$M$2)+(AA5/$V$2)+(AJ5/$AE$2)+(AS5/$AN$2)+(BB5/$AW$2)+(BK5/$BF$2)+(BT5/$BO$2)+(CC5/$BX$2)+(CL5/$CG$2)+(CU5/$CP$2)+(DD5/$CY$2)+(DM5/$DH$2)+(DV5/$DQ$2)+(EE5/$DZ$2)</f>
        <v>0</v>
      </c>
      <c r="EN5" s="75">
        <f t="shared" ref="EN5:EN62" si="26">(J5/$D$2)+(S5/$M$2)+(AB5/$V$2)+(AK5/$AE$2)+(AT5/$AN$2)+(BC5/$AW$2)+(BL5/$BF$2)+(BU5/$BO$2)+(CD5/$BX$2)+(CM5/$CG$2)+(CV5/$CP$2)+(DE5/$CY$2)+(DN5/$DH$2)+(DW5/$DQ$2)+(EF5/$DZ$2)</f>
        <v>0</v>
      </c>
      <c r="EO5" s="76">
        <f t="shared" ref="EO5:EO62" si="27">(K5/$D$2)+(T5/$M$2)+(AC5/$V$2)+(AL5/$AE$2)+(AU5/$AN$2)+(BD5/$AW$2)+(BM5/$BF$2)+(BV5/$BO$2)+(CE5/$BX$2)+(CN5/$CG$2)+(CW5/$CP$2)+(DF5/$CY$2)+(DO5/$DH$2)+(DX5/$DQ$2)+(EG5/$DZ$2)</f>
        <v>0</v>
      </c>
      <c r="EP5" s="71">
        <f t="shared" ref="EP5:EP62" si="28">IF(EH5=0,0,EI5*0.2)</f>
        <v>0</v>
      </c>
      <c r="EQ5" s="71">
        <f t="shared" ref="EQ5:EQ62" si="29">IF(EH5=0,0,EJ5*0.5)</f>
        <v>0</v>
      </c>
      <c r="ER5" s="71">
        <f t="shared" ref="ER5:ER62" si="30">IF(EH5=0,0,EK5*1)</f>
        <v>0</v>
      </c>
      <c r="ES5" s="71">
        <f t="shared" ref="ES5:ES62" si="31">IF(EH5=0,0,EL5*2)</f>
        <v>0</v>
      </c>
      <c r="ET5" s="71">
        <f t="shared" si="4"/>
        <v>0</v>
      </c>
      <c r="EU5" s="71">
        <f t="shared" si="5"/>
        <v>0</v>
      </c>
      <c r="EV5" s="71">
        <f t="shared" si="6"/>
        <v>0</v>
      </c>
      <c r="EW5" s="15" t="e">
        <f t="shared" si="7"/>
        <v>#DIV/0!</v>
      </c>
      <c r="EX5" s="15" t="e">
        <f t="shared" si="8"/>
        <v>#DIV/0!</v>
      </c>
    </row>
    <row r="6" spans="1:154" ht="18" customHeight="1" thickBot="1" x14ac:dyDescent="0.3">
      <c r="A6" s="258" t="s">
        <v>60</v>
      </c>
      <c r="B6" s="259"/>
      <c r="C6" s="150">
        <f>IF(E$1="Wettkampf 1",0,IF(B6&gt;0,1,0))</f>
        <v>0</v>
      </c>
      <c r="D6" s="37">
        <v>0</v>
      </c>
      <c r="E6" s="130"/>
      <c r="F6" s="131"/>
      <c r="G6" s="131"/>
      <c r="H6" s="131"/>
      <c r="I6" s="131"/>
      <c r="J6" s="131"/>
      <c r="K6" s="132"/>
      <c r="L6" s="38">
        <f t="shared" si="0"/>
        <v>0</v>
      </c>
      <c r="M6" s="37">
        <v>0</v>
      </c>
      <c r="N6" s="130"/>
      <c r="O6" s="131"/>
      <c r="P6" s="131"/>
      <c r="Q6" s="131"/>
      <c r="R6" s="131"/>
      <c r="S6" s="131"/>
      <c r="T6" s="132"/>
      <c r="U6" s="38">
        <f t="shared" si="1"/>
        <v>0</v>
      </c>
      <c r="V6" s="37">
        <v>0</v>
      </c>
      <c r="W6" s="46"/>
      <c r="X6" s="46"/>
      <c r="Y6" s="46"/>
      <c r="Z6" s="46"/>
      <c r="AA6" s="46"/>
      <c r="AB6" s="46"/>
      <c r="AC6" s="46"/>
      <c r="AD6" s="38">
        <f t="shared" si="2"/>
        <v>0</v>
      </c>
      <c r="AE6" s="37">
        <v>0</v>
      </c>
      <c r="AF6" s="46"/>
      <c r="AG6" s="46"/>
      <c r="AH6" s="46"/>
      <c r="AI6" s="46"/>
      <c r="AJ6" s="46"/>
      <c r="AK6" s="46"/>
      <c r="AL6" s="46"/>
      <c r="AM6" s="38">
        <f t="shared" si="9"/>
        <v>0</v>
      </c>
      <c r="AN6" s="37">
        <v>0</v>
      </c>
      <c r="AO6" s="46"/>
      <c r="AP6" s="46"/>
      <c r="AQ6" s="46"/>
      <c r="AR6" s="46"/>
      <c r="AS6" s="46"/>
      <c r="AT6" s="46"/>
      <c r="AU6" s="46"/>
      <c r="AV6" s="38">
        <f t="shared" si="10"/>
        <v>0</v>
      </c>
      <c r="AW6" s="37">
        <v>0</v>
      </c>
      <c r="AX6" s="46"/>
      <c r="AY6" s="46"/>
      <c r="AZ6" s="46"/>
      <c r="BA6" s="46"/>
      <c r="BB6" s="46"/>
      <c r="BC6" s="46"/>
      <c r="BD6" s="46"/>
      <c r="BE6" s="38">
        <f t="shared" si="11"/>
        <v>0</v>
      </c>
      <c r="BF6" s="37">
        <v>0</v>
      </c>
      <c r="BG6" s="46"/>
      <c r="BH6" s="46"/>
      <c r="BI6" s="46"/>
      <c r="BJ6" s="46"/>
      <c r="BK6" s="46"/>
      <c r="BL6" s="46"/>
      <c r="BM6" s="46"/>
      <c r="BN6" s="38">
        <f t="shared" si="12"/>
        <v>0</v>
      </c>
      <c r="BO6" s="37">
        <v>0</v>
      </c>
      <c r="BP6" s="46"/>
      <c r="BQ6" s="46"/>
      <c r="BR6" s="46"/>
      <c r="BS6" s="46"/>
      <c r="BT6" s="46"/>
      <c r="BU6" s="46"/>
      <c r="BV6" s="46"/>
      <c r="BW6" s="38">
        <f t="shared" si="13"/>
        <v>0</v>
      </c>
      <c r="BX6" s="37">
        <v>0</v>
      </c>
      <c r="BY6" s="46"/>
      <c r="BZ6" s="46"/>
      <c r="CA6" s="46"/>
      <c r="CB6" s="46"/>
      <c r="CC6" s="46"/>
      <c r="CD6" s="46"/>
      <c r="CE6" s="46"/>
      <c r="CF6" s="38">
        <f t="shared" si="14"/>
        <v>0</v>
      </c>
      <c r="CG6" s="37">
        <v>0</v>
      </c>
      <c r="CH6" s="46"/>
      <c r="CI6" s="46"/>
      <c r="CJ6" s="46"/>
      <c r="CK6" s="46"/>
      <c r="CL6" s="46"/>
      <c r="CM6" s="46"/>
      <c r="CN6" s="46"/>
      <c r="CO6" s="38">
        <f t="shared" si="15"/>
        <v>0</v>
      </c>
      <c r="CP6" s="37">
        <v>0</v>
      </c>
      <c r="CQ6" s="46"/>
      <c r="CR6" s="46"/>
      <c r="CS6" s="46"/>
      <c r="CT6" s="46"/>
      <c r="CU6" s="46"/>
      <c r="CV6" s="46"/>
      <c r="CW6" s="46"/>
      <c r="CX6" s="38">
        <f t="shared" si="16"/>
        <v>0</v>
      </c>
      <c r="CY6" s="37">
        <v>0</v>
      </c>
      <c r="CZ6" s="46"/>
      <c r="DA6" s="46"/>
      <c r="DB6" s="46"/>
      <c r="DC6" s="46"/>
      <c r="DD6" s="46"/>
      <c r="DE6" s="46"/>
      <c r="DF6" s="46"/>
      <c r="DG6" s="38">
        <f t="shared" si="17"/>
        <v>0</v>
      </c>
      <c r="DH6" s="37">
        <v>0</v>
      </c>
      <c r="DI6" s="46"/>
      <c r="DJ6" s="46"/>
      <c r="DK6" s="46"/>
      <c r="DL6" s="46"/>
      <c r="DM6" s="46"/>
      <c r="DN6" s="46"/>
      <c r="DO6" s="46"/>
      <c r="DP6" s="38">
        <f t="shared" si="18"/>
        <v>0</v>
      </c>
      <c r="DQ6" s="37">
        <v>0</v>
      </c>
      <c r="DR6" s="46"/>
      <c r="DS6" s="46"/>
      <c r="DT6" s="46"/>
      <c r="DU6" s="46"/>
      <c r="DV6" s="46"/>
      <c r="DW6" s="46"/>
      <c r="DX6" s="46"/>
      <c r="DY6" s="38">
        <f t="shared" si="19"/>
        <v>0</v>
      </c>
      <c r="DZ6" s="110">
        <v>0</v>
      </c>
      <c r="EA6" s="116"/>
      <c r="EB6" s="46"/>
      <c r="EC6" s="46"/>
      <c r="ED6" s="46"/>
      <c r="EE6" s="46"/>
      <c r="EF6" s="46"/>
      <c r="EG6" s="117"/>
      <c r="EH6" s="114">
        <f t="shared" si="20"/>
        <v>0</v>
      </c>
      <c r="EI6" s="74">
        <f t="shared" si="21"/>
        <v>0</v>
      </c>
      <c r="EJ6" s="75">
        <f t="shared" si="22"/>
        <v>0</v>
      </c>
      <c r="EK6" s="75">
        <f t="shared" si="23"/>
        <v>0</v>
      </c>
      <c r="EL6" s="75">
        <f t="shared" si="24"/>
        <v>0</v>
      </c>
      <c r="EM6" s="75">
        <f t="shared" si="25"/>
        <v>0</v>
      </c>
      <c r="EN6" s="75">
        <f t="shared" si="26"/>
        <v>0</v>
      </c>
      <c r="EO6" s="76">
        <f t="shared" si="27"/>
        <v>0</v>
      </c>
      <c r="EP6" s="71">
        <f t="shared" si="28"/>
        <v>0</v>
      </c>
      <c r="EQ6" s="71">
        <f t="shared" si="29"/>
        <v>0</v>
      </c>
      <c r="ER6" s="71">
        <f t="shared" si="30"/>
        <v>0</v>
      </c>
      <c r="ES6" s="71">
        <f>IF(EH6=0,0,EL6*2)</f>
        <v>0</v>
      </c>
      <c r="ET6" s="71">
        <f t="shared" si="4"/>
        <v>0</v>
      </c>
      <c r="EU6" s="71">
        <f t="shared" si="5"/>
        <v>0</v>
      </c>
      <c r="EV6" s="71">
        <f t="shared" si="6"/>
        <v>0</v>
      </c>
      <c r="EW6" s="15" t="e">
        <f t="shared" si="7"/>
        <v>#DIV/0!</v>
      </c>
      <c r="EX6" s="15" t="e">
        <f t="shared" si="8"/>
        <v>#DIV/0!</v>
      </c>
    </row>
    <row r="7" spans="1:154" ht="18" customHeight="1" thickBot="1" x14ac:dyDescent="0.3">
      <c r="A7" s="258"/>
      <c r="B7" s="259"/>
      <c r="C7" s="150">
        <v>0</v>
      </c>
      <c r="D7" s="37">
        <v>0</v>
      </c>
      <c r="E7" s="130"/>
      <c r="F7" s="131"/>
      <c r="G7" s="131"/>
      <c r="H7" s="131"/>
      <c r="I7" s="131"/>
      <c r="J7" s="131"/>
      <c r="K7" s="132"/>
      <c r="L7" s="38">
        <f t="shared" si="0"/>
        <v>0</v>
      </c>
      <c r="M7" s="37">
        <v>0</v>
      </c>
      <c r="N7" s="130"/>
      <c r="O7" s="131"/>
      <c r="P7" s="131"/>
      <c r="Q7" s="131"/>
      <c r="R7" s="131"/>
      <c r="S7" s="131"/>
      <c r="T7" s="132"/>
      <c r="U7" s="38">
        <f t="shared" si="1"/>
        <v>0</v>
      </c>
      <c r="V7" s="37">
        <v>0</v>
      </c>
      <c r="W7" s="46"/>
      <c r="X7" s="46"/>
      <c r="Y7" s="46"/>
      <c r="Z7" s="46"/>
      <c r="AA7" s="46"/>
      <c r="AB7" s="46"/>
      <c r="AC7" s="46"/>
      <c r="AD7" s="38">
        <f t="shared" si="2"/>
        <v>0</v>
      </c>
      <c r="AE7" s="37">
        <v>0</v>
      </c>
      <c r="AF7" s="46"/>
      <c r="AG7" s="46"/>
      <c r="AH7" s="46"/>
      <c r="AI7" s="46"/>
      <c r="AJ7" s="46"/>
      <c r="AK7" s="46"/>
      <c r="AL7" s="46"/>
      <c r="AM7" s="38">
        <f t="shared" si="9"/>
        <v>0</v>
      </c>
      <c r="AN7" s="37">
        <v>0</v>
      </c>
      <c r="AO7" s="46"/>
      <c r="AP7" s="46"/>
      <c r="AQ7" s="46"/>
      <c r="AR7" s="46"/>
      <c r="AS7" s="46"/>
      <c r="AT7" s="46"/>
      <c r="AU7" s="46"/>
      <c r="AV7" s="38">
        <f t="shared" si="10"/>
        <v>0</v>
      </c>
      <c r="AW7" s="37">
        <v>0</v>
      </c>
      <c r="AX7" s="46"/>
      <c r="AY7" s="46"/>
      <c r="AZ7" s="46"/>
      <c r="BA7" s="46"/>
      <c r="BB7" s="46"/>
      <c r="BC7" s="46"/>
      <c r="BD7" s="46"/>
      <c r="BE7" s="38">
        <f t="shared" si="11"/>
        <v>0</v>
      </c>
      <c r="BF7" s="37">
        <v>0</v>
      </c>
      <c r="BG7" s="46"/>
      <c r="BH7" s="46"/>
      <c r="BI7" s="46"/>
      <c r="BJ7" s="46"/>
      <c r="BK7" s="46"/>
      <c r="BL7" s="46"/>
      <c r="BM7" s="46"/>
      <c r="BN7" s="38">
        <f t="shared" si="12"/>
        <v>0</v>
      </c>
      <c r="BO7" s="37">
        <v>0</v>
      </c>
      <c r="BP7" s="46"/>
      <c r="BQ7" s="46"/>
      <c r="BR7" s="46"/>
      <c r="BS7" s="46"/>
      <c r="BT7" s="46"/>
      <c r="BU7" s="46"/>
      <c r="BV7" s="46"/>
      <c r="BW7" s="38">
        <f t="shared" si="13"/>
        <v>0</v>
      </c>
      <c r="BX7" s="37">
        <v>0</v>
      </c>
      <c r="BY7" s="46"/>
      <c r="BZ7" s="46"/>
      <c r="CA7" s="46"/>
      <c r="CB7" s="46"/>
      <c r="CC7" s="46"/>
      <c r="CD7" s="46"/>
      <c r="CE7" s="46"/>
      <c r="CF7" s="38">
        <f t="shared" si="14"/>
        <v>0</v>
      </c>
      <c r="CG7" s="37">
        <v>0</v>
      </c>
      <c r="CH7" s="46"/>
      <c r="CI7" s="46"/>
      <c r="CJ7" s="46"/>
      <c r="CK7" s="46"/>
      <c r="CL7" s="46"/>
      <c r="CM7" s="46"/>
      <c r="CN7" s="46"/>
      <c r="CO7" s="38">
        <f t="shared" si="15"/>
        <v>0</v>
      </c>
      <c r="CP7" s="37">
        <v>0</v>
      </c>
      <c r="CQ7" s="46"/>
      <c r="CR7" s="46"/>
      <c r="CS7" s="46"/>
      <c r="CT7" s="46"/>
      <c r="CU7" s="46"/>
      <c r="CV7" s="46"/>
      <c r="CW7" s="46"/>
      <c r="CX7" s="38">
        <f t="shared" si="16"/>
        <v>0</v>
      </c>
      <c r="CY7" s="37">
        <v>0</v>
      </c>
      <c r="CZ7" s="46"/>
      <c r="DA7" s="46"/>
      <c r="DB7" s="46"/>
      <c r="DC7" s="46"/>
      <c r="DD7" s="46"/>
      <c r="DE7" s="46"/>
      <c r="DF7" s="46"/>
      <c r="DG7" s="38">
        <f t="shared" si="17"/>
        <v>0</v>
      </c>
      <c r="DH7" s="37">
        <v>0</v>
      </c>
      <c r="DI7" s="46"/>
      <c r="DJ7" s="46"/>
      <c r="DK7" s="46"/>
      <c r="DL7" s="46"/>
      <c r="DM7" s="46"/>
      <c r="DN7" s="46"/>
      <c r="DO7" s="46"/>
      <c r="DP7" s="38">
        <f t="shared" si="18"/>
        <v>0</v>
      </c>
      <c r="DQ7" s="37">
        <v>0</v>
      </c>
      <c r="DR7" s="46"/>
      <c r="DS7" s="46"/>
      <c r="DT7" s="46"/>
      <c r="DU7" s="46"/>
      <c r="DV7" s="46"/>
      <c r="DW7" s="46"/>
      <c r="DX7" s="46"/>
      <c r="DY7" s="38">
        <f t="shared" si="19"/>
        <v>0</v>
      </c>
      <c r="DZ7" s="110">
        <v>0</v>
      </c>
      <c r="EA7" s="116"/>
      <c r="EB7" s="46"/>
      <c r="EC7" s="46"/>
      <c r="ED7" s="46"/>
      <c r="EE7" s="46"/>
      <c r="EF7" s="46"/>
      <c r="EG7" s="117"/>
      <c r="EH7" s="114">
        <f t="shared" si="20"/>
        <v>0</v>
      </c>
      <c r="EI7" s="74">
        <f t="shared" si="21"/>
        <v>0</v>
      </c>
      <c r="EJ7" s="75">
        <f t="shared" si="22"/>
        <v>0</v>
      </c>
      <c r="EK7" s="75">
        <f t="shared" si="23"/>
        <v>0</v>
      </c>
      <c r="EL7" s="75">
        <f t="shared" si="24"/>
        <v>0</v>
      </c>
      <c r="EM7" s="75">
        <f t="shared" si="25"/>
        <v>0</v>
      </c>
      <c r="EN7" s="75">
        <f t="shared" si="26"/>
        <v>0</v>
      </c>
      <c r="EO7" s="76">
        <f t="shared" si="27"/>
        <v>0</v>
      </c>
      <c r="EP7" s="71">
        <f t="shared" si="28"/>
        <v>0</v>
      </c>
      <c r="EQ7" s="71">
        <f t="shared" si="29"/>
        <v>0</v>
      </c>
      <c r="ER7" s="71">
        <f t="shared" si="30"/>
        <v>0</v>
      </c>
      <c r="ES7" s="71">
        <f t="shared" si="31"/>
        <v>0</v>
      </c>
      <c r="ET7" s="71">
        <f t="shared" si="4"/>
        <v>0</v>
      </c>
      <c r="EU7" s="71">
        <f t="shared" si="5"/>
        <v>0</v>
      </c>
      <c r="EV7" s="71">
        <f t="shared" si="6"/>
        <v>0</v>
      </c>
      <c r="EW7" s="15" t="e">
        <f t="shared" si="7"/>
        <v>#DIV/0!</v>
      </c>
      <c r="EX7" s="15" t="e">
        <f t="shared" si="8"/>
        <v>#DIV/0!</v>
      </c>
    </row>
    <row r="8" spans="1:154" ht="18" customHeight="1" thickBot="1" x14ac:dyDescent="0.3">
      <c r="A8" s="260" t="s">
        <v>61</v>
      </c>
      <c r="B8" s="261"/>
      <c r="C8" s="150">
        <f>IF(E$1="Wettkampf 1",0,IF(B8&gt;0,1,0))</f>
        <v>0</v>
      </c>
      <c r="D8" s="37">
        <v>0</v>
      </c>
      <c r="E8" s="130"/>
      <c r="F8" s="131"/>
      <c r="G8" s="131"/>
      <c r="H8" s="131"/>
      <c r="I8" s="131"/>
      <c r="J8" s="131"/>
      <c r="K8" s="132"/>
      <c r="L8" s="38">
        <f t="shared" si="0"/>
        <v>0</v>
      </c>
      <c r="M8" s="37">
        <v>0</v>
      </c>
      <c r="N8" s="130"/>
      <c r="O8" s="131"/>
      <c r="P8" s="131"/>
      <c r="Q8" s="131"/>
      <c r="R8" s="131"/>
      <c r="S8" s="131"/>
      <c r="T8" s="132"/>
      <c r="U8" s="38">
        <f t="shared" si="1"/>
        <v>0</v>
      </c>
      <c r="V8" s="37">
        <v>0</v>
      </c>
      <c r="W8" s="46"/>
      <c r="X8" s="46"/>
      <c r="Y8" s="46"/>
      <c r="Z8" s="46"/>
      <c r="AA8" s="46"/>
      <c r="AB8" s="46"/>
      <c r="AC8" s="46"/>
      <c r="AD8" s="38">
        <f t="shared" si="2"/>
        <v>0</v>
      </c>
      <c r="AE8" s="37">
        <v>0</v>
      </c>
      <c r="AF8" s="46"/>
      <c r="AG8" s="46"/>
      <c r="AH8" s="46"/>
      <c r="AI8" s="46"/>
      <c r="AJ8" s="46"/>
      <c r="AK8" s="46"/>
      <c r="AL8" s="46"/>
      <c r="AM8" s="38">
        <f t="shared" si="9"/>
        <v>0</v>
      </c>
      <c r="AN8" s="37">
        <v>0</v>
      </c>
      <c r="AO8" s="46"/>
      <c r="AP8" s="46"/>
      <c r="AQ8" s="46"/>
      <c r="AR8" s="46"/>
      <c r="AS8" s="46"/>
      <c r="AT8" s="46"/>
      <c r="AU8" s="46"/>
      <c r="AV8" s="38">
        <f t="shared" si="10"/>
        <v>0</v>
      </c>
      <c r="AW8" s="37">
        <v>0</v>
      </c>
      <c r="AX8" s="46"/>
      <c r="AY8" s="46"/>
      <c r="AZ8" s="46"/>
      <c r="BA8" s="46"/>
      <c r="BB8" s="46"/>
      <c r="BC8" s="46"/>
      <c r="BD8" s="46"/>
      <c r="BE8" s="38">
        <f t="shared" si="11"/>
        <v>0</v>
      </c>
      <c r="BF8" s="37">
        <v>0</v>
      </c>
      <c r="BG8" s="46"/>
      <c r="BH8" s="46"/>
      <c r="BI8" s="46"/>
      <c r="BJ8" s="46"/>
      <c r="BK8" s="46"/>
      <c r="BL8" s="46"/>
      <c r="BM8" s="46"/>
      <c r="BN8" s="38">
        <f t="shared" si="12"/>
        <v>0</v>
      </c>
      <c r="BO8" s="37">
        <v>0</v>
      </c>
      <c r="BP8" s="46"/>
      <c r="BQ8" s="46"/>
      <c r="BR8" s="46"/>
      <c r="BS8" s="46"/>
      <c r="BT8" s="46"/>
      <c r="BU8" s="46"/>
      <c r="BV8" s="46"/>
      <c r="BW8" s="38">
        <f t="shared" si="13"/>
        <v>0</v>
      </c>
      <c r="BX8" s="37">
        <v>0</v>
      </c>
      <c r="BY8" s="46"/>
      <c r="BZ8" s="46"/>
      <c r="CA8" s="46"/>
      <c r="CB8" s="46"/>
      <c r="CC8" s="46"/>
      <c r="CD8" s="46"/>
      <c r="CE8" s="46"/>
      <c r="CF8" s="38">
        <f t="shared" si="14"/>
        <v>0</v>
      </c>
      <c r="CG8" s="37">
        <v>0</v>
      </c>
      <c r="CH8" s="46"/>
      <c r="CI8" s="46"/>
      <c r="CJ8" s="46"/>
      <c r="CK8" s="46"/>
      <c r="CL8" s="46"/>
      <c r="CM8" s="46"/>
      <c r="CN8" s="46"/>
      <c r="CO8" s="38">
        <f t="shared" si="15"/>
        <v>0</v>
      </c>
      <c r="CP8" s="37">
        <v>0</v>
      </c>
      <c r="CQ8" s="46"/>
      <c r="CR8" s="46"/>
      <c r="CS8" s="46"/>
      <c r="CT8" s="46"/>
      <c r="CU8" s="46"/>
      <c r="CV8" s="46"/>
      <c r="CW8" s="46"/>
      <c r="CX8" s="38">
        <f t="shared" si="16"/>
        <v>0</v>
      </c>
      <c r="CY8" s="37">
        <v>0</v>
      </c>
      <c r="CZ8" s="46"/>
      <c r="DA8" s="46"/>
      <c r="DB8" s="46"/>
      <c r="DC8" s="46"/>
      <c r="DD8" s="46"/>
      <c r="DE8" s="46"/>
      <c r="DF8" s="46"/>
      <c r="DG8" s="38">
        <f t="shared" si="17"/>
        <v>0</v>
      </c>
      <c r="DH8" s="37">
        <v>0</v>
      </c>
      <c r="DI8" s="46"/>
      <c r="DJ8" s="46"/>
      <c r="DK8" s="46"/>
      <c r="DL8" s="46"/>
      <c r="DM8" s="46"/>
      <c r="DN8" s="46"/>
      <c r="DO8" s="46"/>
      <c r="DP8" s="38">
        <f t="shared" si="18"/>
        <v>0</v>
      </c>
      <c r="DQ8" s="37">
        <v>0</v>
      </c>
      <c r="DR8" s="46"/>
      <c r="DS8" s="46"/>
      <c r="DT8" s="46"/>
      <c r="DU8" s="46"/>
      <c r="DV8" s="46"/>
      <c r="DW8" s="46"/>
      <c r="DX8" s="46"/>
      <c r="DY8" s="38">
        <f t="shared" si="19"/>
        <v>0</v>
      </c>
      <c r="DZ8" s="110">
        <v>0</v>
      </c>
      <c r="EA8" s="116"/>
      <c r="EB8" s="46"/>
      <c r="EC8" s="46"/>
      <c r="ED8" s="46"/>
      <c r="EE8" s="46"/>
      <c r="EF8" s="46"/>
      <c r="EG8" s="117"/>
      <c r="EH8" s="114">
        <f t="shared" si="20"/>
        <v>0</v>
      </c>
      <c r="EI8" s="74">
        <f t="shared" si="21"/>
        <v>0</v>
      </c>
      <c r="EJ8" s="75">
        <f t="shared" si="22"/>
        <v>0</v>
      </c>
      <c r="EK8" s="75">
        <f t="shared" si="23"/>
        <v>0</v>
      </c>
      <c r="EL8" s="75">
        <f t="shared" si="24"/>
        <v>0</v>
      </c>
      <c r="EM8" s="75">
        <f t="shared" si="25"/>
        <v>0</v>
      </c>
      <c r="EN8" s="75">
        <f t="shared" si="26"/>
        <v>0</v>
      </c>
      <c r="EO8" s="76">
        <f t="shared" si="27"/>
        <v>0</v>
      </c>
      <c r="EP8" s="71">
        <f t="shared" si="28"/>
        <v>0</v>
      </c>
      <c r="EQ8" s="71">
        <f t="shared" si="29"/>
        <v>0</v>
      </c>
      <c r="ER8" s="71">
        <f t="shared" si="30"/>
        <v>0</v>
      </c>
      <c r="ES8" s="71">
        <f t="shared" si="31"/>
        <v>0</v>
      </c>
      <c r="ET8" s="71">
        <f t="shared" si="4"/>
        <v>0</v>
      </c>
      <c r="EU8" s="71">
        <f t="shared" si="5"/>
        <v>0</v>
      </c>
      <c r="EV8" s="71">
        <f t="shared" si="6"/>
        <v>0</v>
      </c>
      <c r="EW8" s="15" t="e">
        <f t="shared" si="7"/>
        <v>#DIV/0!</v>
      </c>
      <c r="EX8" s="15" t="e">
        <f t="shared" si="8"/>
        <v>#DIV/0!</v>
      </c>
    </row>
    <row r="9" spans="1:154" ht="18" customHeight="1" thickBot="1" x14ac:dyDescent="0.3">
      <c r="A9" s="260"/>
      <c r="B9" s="261"/>
      <c r="C9" s="150">
        <v>0</v>
      </c>
      <c r="D9" s="37">
        <v>0</v>
      </c>
      <c r="E9" s="130"/>
      <c r="F9" s="131"/>
      <c r="G9" s="131"/>
      <c r="H9" s="131"/>
      <c r="I9" s="131"/>
      <c r="J9" s="131"/>
      <c r="K9" s="132"/>
      <c r="L9" s="38">
        <f t="shared" si="0"/>
        <v>0</v>
      </c>
      <c r="M9" s="37">
        <v>0</v>
      </c>
      <c r="N9" s="130"/>
      <c r="O9" s="131"/>
      <c r="P9" s="131"/>
      <c r="Q9" s="131"/>
      <c r="R9" s="131"/>
      <c r="S9" s="131"/>
      <c r="T9" s="132"/>
      <c r="U9" s="38">
        <f t="shared" si="1"/>
        <v>0</v>
      </c>
      <c r="V9" s="37">
        <v>0</v>
      </c>
      <c r="W9" s="46"/>
      <c r="X9" s="46"/>
      <c r="Y9" s="46"/>
      <c r="Z9" s="46"/>
      <c r="AA9" s="46"/>
      <c r="AB9" s="46"/>
      <c r="AC9" s="46"/>
      <c r="AD9" s="38">
        <f t="shared" si="2"/>
        <v>0</v>
      </c>
      <c r="AE9" s="37">
        <v>0</v>
      </c>
      <c r="AF9" s="46"/>
      <c r="AG9" s="46"/>
      <c r="AH9" s="46"/>
      <c r="AI9" s="46"/>
      <c r="AJ9" s="46"/>
      <c r="AK9" s="46"/>
      <c r="AL9" s="46"/>
      <c r="AM9" s="38">
        <f>IF(AO$1="Wettkampf 5",0,IF(AD9=1,1,0))</f>
        <v>0</v>
      </c>
      <c r="AN9" s="37">
        <v>0</v>
      </c>
      <c r="AO9" s="46"/>
      <c r="AP9" s="46"/>
      <c r="AQ9" s="46"/>
      <c r="AR9" s="46"/>
      <c r="AS9" s="46"/>
      <c r="AT9" s="46"/>
      <c r="AU9" s="46"/>
      <c r="AV9" s="38">
        <f t="shared" si="10"/>
        <v>0</v>
      </c>
      <c r="AW9" s="37">
        <v>0</v>
      </c>
      <c r="AX9" s="46"/>
      <c r="AY9" s="46"/>
      <c r="AZ9" s="46"/>
      <c r="BA9" s="46"/>
      <c r="BB9" s="46"/>
      <c r="BC9" s="46"/>
      <c r="BD9" s="46"/>
      <c r="BE9" s="38">
        <f t="shared" si="11"/>
        <v>0</v>
      </c>
      <c r="BF9" s="37">
        <v>0</v>
      </c>
      <c r="BG9" s="46"/>
      <c r="BH9" s="46"/>
      <c r="BI9" s="46"/>
      <c r="BJ9" s="46"/>
      <c r="BK9" s="46"/>
      <c r="BL9" s="46"/>
      <c r="BM9" s="46"/>
      <c r="BN9" s="38">
        <f t="shared" si="12"/>
        <v>0</v>
      </c>
      <c r="BO9" s="37">
        <v>0</v>
      </c>
      <c r="BP9" s="46"/>
      <c r="BQ9" s="46"/>
      <c r="BR9" s="46"/>
      <c r="BS9" s="46"/>
      <c r="BT9" s="46"/>
      <c r="BU9" s="46"/>
      <c r="BV9" s="46"/>
      <c r="BW9" s="38">
        <f t="shared" si="13"/>
        <v>0</v>
      </c>
      <c r="BX9" s="37">
        <v>0</v>
      </c>
      <c r="BY9" s="46"/>
      <c r="BZ9" s="46"/>
      <c r="CA9" s="46"/>
      <c r="CB9" s="46"/>
      <c r="CC9" s="46"/>
      <c r="CD9" s="46"/>
      <c r="CE9" s="46"/>
      <c r="CF9" s="38">
        <f t="shared" si="14"/>
        <v>0</v>
      </c>
      <c r="CG9" s="37">
        <v>0</v>
      </c>
      <c r="CH9" s="46"/>
      <c r="CI9" s="46"/>
      <c r="CJ9" s="46"/>
      <c r="CK9" s="46"/>
      <c r="CL9" s="46"/>
      <c r="CM9" s="46"/>
      <c r="CN9" s="46"/>
      <c r="CO9" s="38">
        <f t="shared" si="15"/>
        <v>0</v>
      </c>
      <c r="CP9" s="37">
        <v>0</v>
      </c>
      <c r="CQ9" s="46"/>
      <c r="CR9" s="46"/>
      <c r="CS9" s="46"/>
      <c r="CT9" s="46"/>
      <c r="CU9" s="46"/>
      <c r="CV9" s="46"/>
      <c r="CW9" s="46"/>
      <c r="CX9" s="38">
        <f t="shared" si="16"/>
        <v>0</v>
      </c>
      <c r="CY9" s="37">
        <v>0</v>
      </c>
      <c r="CZ9" s="46"/>
      <c r="DA9" s="46"/>
      <c r="DB9" s="46"/>
      <c r="DC9" s="46"/>
      <c r="DD9" s="46"/>
      <c r="DE9" s="46"/>
      <c r="DF9" s="46"/>
      <c r="DG9" s="38">
        <f t="shared" si="17"/>
        <v>0</v>
      </c>
      <c r="DH9" s="37">
        <v>0</v>
      </c>
      <c r="DI9" s="46"/>
      <c r="DJ9" s="46"/>
      <c r="DK9" s="46"/>
      <c r="DL9" s="46"/>
      <c r="DM9" s="46"/>
      <c r="DN9" s="46"/>
      <c r="DO9" s="46"/>
      <c r="DP9" s="38">
        <f t="shared" si="18"/>
        <v>0</v>
      </c>
      <c r="DQ9" s="37">
        <v>0</v>
      </c>
      <c r="DR9" s="46"/>
      <c r="DS9" s="46"/>
      <c r="DT9" s="46"/>
      <c r="DU9" s="46"/>
      <c r="DV9" s="46"/>
      <c r="DW9" s="46"/>
      <c r="DX9" s="46"/>
      <c r="DY9" s="38">
        <f t="shared" si="19"/>
        <v>0</v>
      </c>
      <c r="DZ9" s="110">
        <v>0</v>
      </c>
      <c r="EA9" s="116"/>
      <c r="EB9" s="46"/>
      <c r="EC9" s="46"/>
      <c r="ED9" s="46"/>
      <c r="EE9" s="46"/>
      <c r="EF9" s="46"/>
      <c r="EG9" s="117"/>
      <c r="EH9" s="114">
        <f t="shared" si="20"/>
        <v>0</v>
      </c>
      <c r="EI9" s="74">
        <f t="shared" si="21"/>
        <v>0</v>
      </c>
      <c r="EJ9" s="75">
        <f t="shared" si="22"/>
        <v>0</v>
      </c>
      <c r="EK9" s="75">
        <f t="shared" si="23"/>
        <v>0</v>
      </c>
      <c r="EL9" s="75">
        <f t="shared" si="24"/>
        <v>0</v>
      </c>
      <c r="EM9" s="75">
        <f t="shared" si="25"/>
        <v>0</v>
      </c>
      <c r="EN9" s="75">
        <f t="shared" si="26"/>
        <v>0</v>
      </c>
      <c r="EO9" s="76">
        <f t="shared" si="27"/>
        <v>0</v>
      </c>
      <c r="EP9" s="71">
        <f t="shared" si="28"/>
        <v>0</v>
      </c>
      <c r="EQ9" s="71">
        <f t="shared" si="29"/>
        <v>0</v>
      </c>
      <c r="ER9" s="71">
        <f t="shared" si="30"/>
        <v>0</v>
      </c>
      <c r="ES9" s="71">
        <f t="shared" si="31"/>
        <v>0</v>
      </c>
      <c r="ET9" s="71">
        <f t="shared" si="4"/>
        <v>0</v>
      </c>
      <c r="EU9" s="71">
        <f t="shared" si="5"/>
        <v>0</v>
      </c>
      <c r="EV9" s="71">
        <f t="shared" si="6"/>
        <v>0</v>
      </c>
      <c r="EW9" s="15" t="e">
        <f t="shared" si="7"/>
        <v>#DIV/0!</v>
      </c>
      <c r="EX9" s="15" t="e">
        <f t="shared" si="8"/>
        <v>#DIV/0!</v>
      </c>
    </row>
    <row r="10" spans="1:154" ht="18" customHeight="1" thickBot="1" x14ac:dyDescent="0.3">
      <c r="A10" s="260" t="s">
        <v>62</v>
      </c>
      <c r="B10" s="262"/>
      <c r="C10" s="150">
        <f t="shared" ref="C10:C38" si="32">IF(E$1="Wettkampf 1",0,IF(B10&gt;0,1,0))</f>
        <v>0</v>
      </c>
      <c r="D10" s="37">
        <v>0</v>
      </c>
      <c r="E10" s="130"/>
      <c r="F10" s="131"/>
      <c r="G10" s="131"/>
      <c r="H10" s="131"/>
      <c r="I10" s="131"/>
      <c r="J10" s="131"/>
      <c r="K10" s="132"/>
      <c r="L10" s="38">
        <f t="shared" si="0"/>
        <v>0</v>
      </c>
      <c r="M10" s="37">
        <v>0</v>
      </c>
      <c r="N10" s="130"/>
      <c r="O10" s="131"/>
      <c r="P10" s="131"/>
      <c r="Q10" s="131"/>
      <c r="R10" s="131"/>
      <c r="S10" s="131"/>
      <c r="T10" s="132"/>
      <c r="U10" s="38">
        <f t="shared" si="1"/>
        <v>0</v>
      </c>
      <c r="V10" s="37">
        <v>0</v>
      </c>
      <c r="W10" s="46"/>
      <c r="X10" s="46"/>
      <c r="Y10" s="46"/>
      <c r="Z10" s="46"/>
      <c r="AA10" s="46"/>
      <c r="AB10" s="46"/>
      <c r="AC10" s="46"/>
      <c r="AD10" s="38">
        <f t="shared" si="2"/>
        <v>0</v>
      </c>
      <c r="AE10" s="37">
        <v>0</v>
      </c>
      <c r="AF10" s="46"/>
      <c r="AG10" s="46"/>
      <c r="AH10" s="46"/>
      <c r="AI10" s="46"/>
      <c r="AJ10" s="46"/>
      <c r="AK10" s="46"/>
      <c r="AL10" s="46"/>
      <c r="AM10" s="38">
        <f t="shared" si="9"/>
        <v>0</v>
      </c>
      <c r="AN10" s="37">
        <v>0</v>
      </c>
      <c r="AO10" s="46"/>
      <c r="AP10" s="46"/>
      <c r="AQ10" s="46"/>
      <c r="AR10" s="46"/>
      <c r="AS10" s="46"/>
      <c r="AT10" s="46"/>
      <c r="AU10" s="46"/>
      <c r="AV10" s="38">
        <f t="shared" si="10"/>
        <v>0</v>
      </c>
      <c r="AW10" s="37">
        <v>0</v>
      </c>
      <c r="AX10" s="46"/>
      <c r="AY10" s="46"/>
      <c r="AZ10" s="46"/>
      <c r="BA10" s="46"/>
      <c r="BB10" s="46"/>
      <c r="BC10" s="46"/>
      <c r="BD10" s="46"/>
      <c r="BE10" s="38">
        <f t="shared" si="11"/>
        <v>0</v>
      </c>
      <c r="BF10" s="37">
        <v>0</v>
      </c>
      <c r="BG10" s="46"/>
      <c r="BH10" s="46"/>
      <c r="BI10" s="46"/>
      <c r="BJ10" s="46"/>
      <c r="BK10" s="46"/>
      <c r="BL10" s="46"/>
      <c r="BM10" s="46"/>
      <c r="BN10" s="38">
        <f t="shared" si="12"/>
        <v>0</v>
      </c>
      <c r="BO10" s="37">
        <v>0</v>
      </c>
      <c r="BP10" s="46"/>
      <c r="BQ10" s="46"/>
      <c r="BR10" s="46"/>
      <c r="BS10" s="46"/>
      <c r="BT10" s="46"/>
      <c r="BU10" s="46"/>
      <c r="BV10" s="46"/>
      <c r="BW10" s="38">
        <f t="shared" si="13"/>
        <v>0</v>
      </c>
      <c r="BX10" s="37">
        <v>0</v>
      </c>
      <c r="BY10" s="46"/>
      <c r="BZ10" s="46"/>
      <c r="CA10" s="46"/>
      <c r="CB10" s="46"/>
      <c r="CC10" s="46"/>
      <c r="CD10" s="46"/>
      <c r="CE10" s="46"/>
      <c r="CF10" s="38">
        <f t="shared" si="14"/>
        <v>0</v>
      </c>
      <c r="CG10" s="37">
        <v>0</v>
      </c>
      <c r="CH10" s="46"/>
      <c r="CI10" s="46"/>
      <c r="CJ10" s="46"/>
      <c r="CK10" s="46"/>
      <c r="CL10" s="46"/>
      <c r="CM10" s="46"/>
      <c r="CN10" s="46"/>
      <c r="CO10" s="38">
        <f t="shared" si="15"/>
        <v>0</v>
      </c>
      <c r="CP10" s="37">
        <v>0</v>
      </c>
      <c r="CQ10" s="46"/>
      <c r="CR10" s="46"/>
      <c r="CS10" s="46"/>
      <c r="CT10" s="46"/>
      <c r="CU10" s="46"/>
      <c r="CV10" s="46"/>
      <c r="CW10" s="46"/>
      <c r="CX10" s="38">
        <f t="shared" si="16"/>
        <v>0</v>
      </c>
      <c r="CY10" s="37">
        <v>0</v>
      </c>
      <c r="CZ10" s="46"/>
      <c r="DA10" s="46"/>
      <c r="DB10" s="46"/>
      <c r="DC10" s="46"/>
      <c r="DD10" s="46"/>
      <c r="DE10" s="46"/>
      <c r="DF10" s="46"/>
      <c r="DG10" s="38">
        <f t="shared" si="17"/>
        <v>0</v>
      </c>
      <c r="DH10" s="37">
        <v>0</v>
      </c>
      <c r="DI10" s="46"/>
      <c r="DJ10" s="46"/>
      <c r="DK10" s="46"/>
      <c r="DL10" s="46"/>
      <c r="DM10" s="46"/>
      <c r="DN10" s="46"/>
      <c r="DO10" s="46"/>
      <c r="DP10" s="38">
        <f t="shared" si="18"/>
        <v>0</v>
      </c>
      <c r="DQ10" s="37">
        <v>0</v>
      </c>
      <c r="DR10" s="46"/>
      <c r="DS10" s="46"/>
      <c r="DT10" s="46"/>
      <c r="DU10" s="46"/>
      <c r="DV10" s="46"/>
      <c r="DW10" s="46"/>
      <c r="DX10" s="46"/>
      <c r="DY10" s="38">
        <f t="shared" si="19"/>
        <v>0</v>
      </c>
      <c r="DZ10" s="110">
        <v>0</v>
      </c>
      <c r="EA10" s="116"/>
      <c r="EB10" s="46"/>
      <c r="EC10" s="46"/>
      <c r="ED10" s="46"/>
      <c r="EE10" s="46"/>
      <c r="EF10" s="46"/>
      <c r="EG10" s="117"/>
      <c r="EH10" s="114">
        <f t="shared" si="20"/>
        <v>0</v>
      </c>
      <c r="EI10" s="74">
        <f>(E10/$D$2)+(N10/$M$2)+(W10/$V$2)+(AF10/$AE$2)+(AO10/$AN$2)+(AX10/$AW$2)+(BG10/$BF$2)+(BP10/$BO$2)+(BY10/$BX$2)+(CH10/$CG$2)+(CQ10/$CP$2)+(CZ10/$CY$2)+(DI10/$DH$2)+(DR10/$DQ$2)+(EA10/$DZ$2)</f>
        <v>0</v>
      </c>
      <c r="EJ10" s="75">
        <f t="shared" si="22"/>
        <v>0</v>
      </c>
      <c r="EK10" s="75">
        <f t="shared" si="23"/>
        <v>0</v>
      </c>
      <c r="EL10" s="75">
        <f t="shared" si="24"/>
        <v>0</v>
      </c>
      <c r="EM10" s="75">
        <f t="shared" si="25"/>
        <v>0</v>
      </c>
      <c r="EN10" s="75">
        <f t="shared" si="26"/>
        <v>0</v>
      </c>
      <c r="EO10" s="76">
        <f t="shared" si="27"/>
        <v>0</v>
      </c>
      <c r="EP10" s="71">
        <f t="shared" si="28"/>
        <v>0</v>
      </c>
      <c r="EQ10" s="71">
        <f t="shared" si="29"/>
        <v>0</v>
      </c>
      <c r="ER10" s="71">
        <f t="shared" si="30"/>
        <v>0</v>
      </c>
      <c r="ES10" s="71">
        <f t="shared" si="31"/>
        <v>0</v>
      </c>
      <c r="ET10" s="71">
        <f t="shared" si="4"/>
        <v>0</v>
      </c>
      <c r="EU10" s="71">
        <f t="shared" si="5"/>
        <v>0</v>
      </c>
      <c r="EV10" s="71">
        <f t="shared" si="6"/>
        <v>0</v>
      </c>
      <c r="EW10" s="15" t="e">
        <f t="shared" si="7"/>
        <v>#DIV/0!</v>
      </c>
      <c r="EX10" s="15" t="e">
        <f t="shared" si="8"/>
        <v>#DIV/0!</v>
      </c>
    </row>
    <row r="11" spans="1:154" ht="18" customHeight="1" thickBot="1" x14ac:dyDescent="0.3">
      <c r="A11" s="260"/>
      <c r="B11" s="262"/>
      <c r="C11" s="150">
        <v>0</v>
      </c>
      <c r="D11" s="37">
        <v>0</v>
      </c>
      <c r="E11" s="130"/>
      <c r="F11" s="131"/>
      <c r="G11" s="131"/>
      <c r="H11" s="131"/>
      <c r="I11" s="131"/>
      <c r="J11" s="131"/>
      <c r="K11" s="132"/>
      <c r="L11" s="38">
        <f t="shared" si="0"/>
        <v>0</v>
      </c>
      <c r="M11" s="37">
        <v>0</v>
      </c>
      <c r="N11" s="130"/>
      <c r="O11" s="131"/>
      <c r="P11" s="131"/>
      <c r="Q11" s="131"/>
      <c r="R11" s="131"/>
      <c r="S11" s="131"/>
      <c r="T11" s="132"/>
      <c r="U11" s="38">
        <f t="shared" si="1"/>
        <v>0</v>
      </c>
      <c r="V11" s="37">
        <v>0</v>
      </c>
      <c r="W11" s="46"/>
      <c r="X11" s="46"/>
      <c r="Y11" s="46"/>
      <c r="Z11" s="46"/>
      <c r="AA11" s="46"/>
      <c r="AB11" s="46"/>
      <c r="AC11" s="46"/>
      <c r="AD11" s="38">
        <f t="shared" si="2"/>
        <v>0</v>
      </c>
      <c r="AE11" s="37">
        <v>0</v>
      </c>
      <c r="AF11" s="46"/>
      <c r="AG11" s="46"/>
      <c r="AH11" s="46"/>
      <c r="AI11" s="46"/>
      <c r="AJ11" s="46"/>
      <c r="AK11" s="46"/>
      <c r="AL11" s="46"/>
      <c r="AM11" s="38">
        <f t="shared" si="9"/>
        <v>0</v>
      </c>
      <c r="AN11" s="37">
        <v>0</v>
      </c>
      <c r="AO11" s="46"/>
      <c r="AP11" s="46"/>
      <c r="AQ11" s="46"/>
      <c r="AR11" s="46"/>
      <c r="AS11" s="46"/>
      <c r="AT11" s="46"/>
      <c r="AU11" s="46"/>
      <c r="AV11" s="38">
        <f t="shared" si="10"/>
        <v>0</v>
      </c>
      <c r="AW11" s="37">
        <v>0</v>
      </c>
      <c r="AX11" s="46"/>
      <c r="AY11" s="46"/>
      <c r="AZ11" s="46"/>
      <c r="BA11" s="46"/>
      <c r="BB11" s="46"/>
      <c r="BC11" s="46"/>
      <c r="BD11" s="46"/>
      <c r="BE11" s="38">
        <f t="shared" si="11"/>
        <v>0</v>
      </c>
      <c r="BF11" s="37">
        <v>0</v>
      </c>
      <c r="BG11" s="46"/>
      <c r="BH11" s="46"/>
      <c r="BI11" s="46"/>
      <c r="BJ11" s="46"/>
      <c r="BK11" s="46"/>
      <c r="BL11" s="46"/>
      <c r="BM11" s="46"/>
      <c r="BN11" s="38">
        <f t="shared" si="12"/>
        <v>0</v>
      </c>
      <c r="BO11" s="37">
        <v>0</v>
      </c>
      <c r="BP11" s="46"/>
      <c r="BQ11" s="46"/>
      <c r="BR11" s="46"/>
      <c r="BS11" s="46"/>
      <c r="BT11" s="46"/>
      <c r="BU11" s="46"/>
      <c r="BV11" s="46"/>
      <c r="BW11" s="38">
        <f t="shared" si="13"/>
        <v>0</v>
      </c>
      <c r="BX11" s="37">
        <v>0</v>
      </c>
      <c r="BY11" s="46"/>
      <c r="BZ11" s="46"/>
      <c r="CA11" s="46"/>
      <c r="CB11" s="46"/>
      <c r="CC11" s="46"/>
      <c r="CD11" s="46"/>
      <c r="CE11" s="46"/>
      <c r="CF11" s="38">
        <f t="shared" si="14"/>
        <v>0</v>
      </c>
      <c r="CG11" s="37">
        <v>0</v>
      </c>
      <c r="CH11" s="46"/>
      <c r="CI11" s="46"/>
      <c r="CJ11" s="46"/>
      <c r="CK11" s="46"/>
      <c r="CL11" s="46"/>
      <c r="CM11" s="46"/>
      <c r="CN11" s="46"/>
      <c r="CO11" s="38">
        <f t="shared" si="15"/>
        <v>0</v>
      </c>
      <c r="CP11" s="37">
        <v>0</v>
      </c>
      <c r="CQ11" s="46"/>
      <c r="CR11" s="46"/>
      <c r="CS11" s="46"/>
      <c r="CT11" s="46"/>
      <c r="CU11" s="46"/>
      <c r="CV11" s="46"/>
      <c r="CW11" s="46"/>
      <c r="CX11" s="38">
        <f t="shared" si="16"/>
        <v>0</v>
      </c>
      <c r="CY11" s="37">
        <v>0</v>
      </c>
      <c r="CZ11" s="46"/>
      <c r="DA11" s="46"/>
      <c r="DB11" s="46"/>
      <c r="DC11" s="46"/>
      <c r="DD11" s="46"/>
      <c r="DE11" s="46"/>
      <c r="DF11" s="46"/>
      <c r="DG11" s="38">
        <f t="shared" si="17"/>
        <v>0</v>
      </c>
      <c r="DH11" s="37">
        <v>0</v>
      </c>
      <c r="DI11" s="46"/>
      <c r="DJ11" s="46"/>
      <c r="DK11" s="46"/>
      <c r="DL11" s="46"/>
      <c r="DM11" s="46"/>
      <c r="DN11" s="46"/>
      <c r="DO11" s="46"/>
      <c r="DP11" s="38">
        <f t="shared" si="18"/>
        <v>0</v>
      </c>
      <c r="DQ11" s="37">
        <v>0</v>
      </c>
      <c r="DR11" s="46"/>
      <c r="DS11" s="46"/>
      <c r="DT11" s="46"/>
      <c r="DU11" s="46"/>
      <c r="DV11" s="46"/>
      <c r="DW11" s="46"/>
      <c r="DX11" s="46"/>
      <c r="DY11" s="38">
        <f t="shared" si="19"/>
        <v>0</v>
      </c>
      <c r="DZ11" s="110">
        <v>0</v>
      </c>
      <c r="EA11" s="116"/>
      <c r="EB11" s="46"/>
      <c r="EC11" s="46"/>
      <c r="ED11" s="46"/>
      <c r="EE11" s="46"/>
      <c r="EF11" s="46"/>
      <c r="EG11" s="117"/>
      <c r="EH11" s="114">
        <f t="shared" si="20"/>
        <v>0</v>
      </c>
      <c r="EI11" s="74">
        <f t="shared" si="21"/>
        <v>0</v>
      </c>
      <c r="EJ11" s="75">
        <f t="shared" si="22"/>
        <v>0</v>
      </c>
      <c r="EK11" s="75">
        <f t="shared" si="23"/>
        <v>0</v>
      </c>
      <c r="EL11" s="75">
        <f t="shared" si="24"/>
        <v>0</v>
      </c>
      <c r="EM11" s="75">
        <f t="shared" si="25"/>
        <v>0</v>
      </c>
      <c r="EN11" s="75">
        <f t="shared" si="26"/>
        <v>0</v>
      </c>
      <c r="EO11" s="76">
        <f t="shared" si="27"/>
        <v>0</v>
      </c>
      <c r="EP11" s="71">
        <f t="shared" si="28"/>
        <v>0</v>
      </c>
      <c r="EQ11" s="71">
        <f t="shared" si="29"/>
        <v>0</v>
      </c>
      <c r="ER11" s="71">
        <f t="shared" si="30"/>
        <v>0</v>
      </c>
      <c r="ES11" s="71">
        <f t="shared" si="31"/>
        <v>0</v>
      </c>
      <c r="ET11" s="71">
        <f t="shared" si="4"/>
        <v>0</v>
      </c>
      <c r="EU11" s="71">
        <f t="shared" si="5"/>
        <v>0</v>
      </c>
      <c r="EV11" s="71">
        <f t="shared" si="6"/>
        <v>0</v>
      </c>
      <c r="EW11" s="15" t="e">
        <f t="shared" si="7"/>
        <v>#DIV/0!</v>
      </c>
      <c r="EX11" s="15" t="e">
        <f t="shared" si="8"/>
        <v>#DIV/0!</v>
      </c>
    </row>
    <row r="12" spans="1:154" ht="18" customHeight="1" thickBot="1" x14ac:dyDescent="0.3">
      <c r="A12" s="260" t="s">
        <v>63</v>
      </c>
      <c r="B12" s="261"/>
      <c r="C12" s="150">
        <f t="shared" si="32"/>
        <v>0</v>
      </c>
      <c r="D12" s="37">
        <v>0</v>
      </c>
      <c r="E12" s="130"/>
      <c r="F12" s="131"/>
      <c r="G12" s="131"/>
      <c r="H12" s="131"/>
      <c r="I12" s="131"/>
      <c r="J12" s="131"/>
      <c r="K12" s="132"/>
      <c r="L12" s="38">
        <f t="shared" si="0"/>
        <v>0</v>
      </c>
      <c r="M12" s="37">
        <v>0</v>
      </c>
      <c r="N12" s="130"/>
      <c r="O12" s="131"/>
      <c r="P12" s="131"/>
      <c r="Q12" s="131"/>
      <c r="R12" s="131"/>
      <c r="S12" s="131"/>
      <c r="T12" s="132"/>
      <c r="U12" s="38">
        <f t="shared" si="1"/>
        <v>0</v>
      </c>
      <c r="V12" s="37">
        <v>0</v>
      </c>
      <c r="W12" s="46"/>
      <c r="X12" s="46"/>
      <c r="Y12" s="46"/>
      <c r="Z12" s="46"/>
      <c r="AA12" s="46"/>
      <c r="AB12" s="46"/>
      <c r="AC12" s="46"/>
      <c r="AD12" s="38">
        <f t="shared" si="2"/>
        <v>0</v>
      </c>
      <c r="AE12" s="37">
        <v>0</v>
      </c>
      <c r="AF12" s="46"/>
      <c r="AG12" s="46"/>
      <c r="AH12" s="46"/>
      <c r="AI12" s="46"/>
      <c r="AJ12" s="46"/>
      <c r="AK12" s="46"/>
      <c r="AL12" s="46"/>
      <c r="AM12" s="38">
        <f t="shared" si="9"/>
        <v>0</v>
      </c>
      <c r="AN12" s="37">
        <v>0</v>
      </c>
      <c r="AO12" s="46"/>
      <c r="AP12" s="46"/>
      <c r="AQ12" s="46"/>
      <c r="AR12" s="46"/>
      <c r="AS12" s="46"/>
      <c r="AT12" s="46"/>
      <c r="AU12" s="46"/>
      <c r="AV12" s="38">
        <f t="shared" si="10"/>
        <v>0</v>
      </c>
      <c r="AW12" s="37">
        <v>0</v>
      </c>
      <c r="AX12" s="46"/>
      <c r="AY12" s="46"/>
      <c r="AZ12" s="46"/>
      <c r="BA12" s="46"/>
      <c r="BB12" s="46"/>
      <c r="BC12" s="46"/>
      <c r="BD12" s="46"/>
      <c r="BE12" s="38">
        <f t="shared" si="11"/>
        <v>0</v>
      </c>
      <c r="BF12" s="37">
        <v>0</v>
      </c>
      <c r="BG12" s="46"/>
      <c r="BH12" s="46"/>
      <c r="BI12" s="46"/>
      <c r="BJ12" s="46"/>
      <c r="BK12" s="46"/>
      <c r="BL12" s="46"/>
      <c r="BM12" s="46"/>
      <c r="BN12" s="38">
        <f t="shared" si="12"/>
        <v>0</v>
      </c>
      <c r="BO12" s="37">
        <v>0</v>
      </c>
      <c r="BP12" s="46"/>
      <c r="BQ12" s="46"/>
      <c r="BR12" s="46"/>
      <c r="BS12" s="46"/>
      <c r="BT12" s="46"/>
      <c r="BU12" s="46"/>
      <c r="BV12" s="46"/>
      <c r="BW12" s="38">
        <f t="shared" si="13"/>
        <v>0</v>
      </c>
      <c r="BX12" s="37">
        <v>0</v>
      </c>
      <c r="BY12" s="46"/>
      <c r="BZ12" s="46"/>
      <c r="CA12" s="46"/>
      <c r="CB12" s="46"/>
      <c r="CC12" s="46"/>
      <c r="CD12" s="46"/>
      <c r="CE12" s="46"/>
      <c r="CF12" s="38">
        <f t="shared" si="14"/>
        <v>0</v>
      </c>
      <c r="CG12" s="37">
        <v>0</v>
      </c>
      <c r="CH12" s="46"/>
      <c r="CI12" s="46"/>
      <c r="CJ12" s="46"/>
      <c r="CK12" s="46"/>
      <c r="CL12" s="46"/>
      <c r="CM12" s="46"/>
      <c r="CN12" s="46"/>
      <c r="CO12" s="38">
        <f t="shared" si="15"/>
        <v>0</v>
      </c>
      <c r="CP12" s="37">
        <v>0</v>
      </c>
      <c r="CQ12" s="46"/>
      <c r="CR12" s="46"/>
      <c r="CS12" s="46"/>
      <c r="CT12" s="46"/>
      <c r="CU12" s="46"/>
      <c r="CV12" s="46"/>
      <c r="CW12" s="46"/>
      <c r="CX12" s="38">
        <f t="shared" si="16"/>
        <v>0</v>
      </c>
      <c r="CY12" s="37">
        <v>0</v>
      </c>
      <c r="CZ12" s="46"/>
      <c r="DA12" s="46"/>
      <c r="DB12" s="46"/>
      <c r="DC12" s="46"/>
      <c r="DD12" s="46"/>
      <c r="DE12" s="46"/>
      <c r="DF12" s="46"/>
      <c r="DG12" s="38">
        <f t="shared" si="17"/>
        <v>0</v>
      </c>
      <c r="DH12" s="37">
        <v>0</v>
      </c>
      <c r="DI12" s="46"/>
      <c r="DJ12" s="46"/>
      <c r="DK12" s="46"/>
      <c r="DL12" s="46"/>
      <c r="DM12" s="46"/>
      <c r="DN12" s="46"/>
      <c r="DO12" s="46"/>
      <c r="DP12" s="38">
        <f t="shared" si="18"/>
        <v>0</v>
      </c>
      <c r="DQ12" s="37">
        <v>0</v>
      </c>
      <c r="DR12" s="46"/>
      <c r="DS12" s="46"/>
      <c r="DT12" s="46"/>
      <c r="DU12" s="46"/>
      <c r="DV12" s="46"/>
      <c r="DW12" s="46"/>
      <c r="DX12" s="46"/>
      <c r="DY12" s="38">
        <f t="shared" si="19"/>
        <v>0</v>
      </c>
      <c r="DZ12" s="110">
        <v>0</v>
      </c>
      <c r="EA12" s="116"/>
      <c r="EB12" s="46"/>
      <c r="EC12" s="46"/>
      <c r="ED12" s="46"/>
      <c r="EE12" s="46"/>
      <c r="EF12" s="46"/>
      <c r="EG12" s="117"/>
      <c r="EH12" s="114">
        <f t="shared" si="20"/>
        <v>0</v>
      </c>
      <c r="EI12" s="74">
        <f t="shared" si="21"/>
        <v>0</v>
      </c>
      <c r="EJ12" s="75">
        <f t="shared" si="22"/>
        <v>0</v>
      </c>
      <c r="EK12" s="75">
        <f t="shared" si="23"/>
        <v>0</v>
      </c>
      <c r="EL12" s="75">
        <f t="shared" si="24"/>
        <v>0</v>
      </c>
      <c r="EM12" s="75">
        <f t="shared" si="25"/>
        <v>0</v>
      </c>
      <c r="EN12" s="75">
        <f t="shared" si="26"/>
        <v>0</v>
      </c>
      <c r="EO12" s="76">
        <f t="shared" si="27"/>
        <v>0</v>
      </c>
      <c r="EP12" s="71">
        <f t="shared" si="28"/>
        <v>0</v>
      </c>
      <c r="EQ12" s="71">
        <f t="shared" si="29"/>
        <v>0</v>
      </c>
      <c r="ER12" s="71">
        <f t="shared" si="30"/>
        <v>0</v>
      </c>
      <c r="ES12" s="71">
        <f t="shared" si="31"/>
        <v>0</v>
      </c>
      <c r="ET12" s="71">
        <f t="shared" si="4"/>
        <v>0</v>
      </c>
      <c r="EU12" s="71">
        <f t="shared" si="5"/>
        <v>0</v>
      </c>
      <c r="EV12" s="71">
        <f t="shared" si="6"/>
        <v>0</v>
      </c>
      <c r="EW12" s="15" t="e">
        <f t="shared" si="7"/>
        <v>#DIV/0!</v>
      </c>
      <c r="EX12" s="15" t="e">
        <f t="shared" si="8"/>
        <v>#DIV/0!</v>
      </c>
    </row>
    <row r="13" spans="1:154" ht="18" customHeight="1" thickBot="1" x14ac:dyDescent="0.3">
      <c r="A13" s="260"/>
      <c r="B13" s="261"/>
      <c r="C13" s="150">
        <v>0</v>
      </c>
      <c r="D13" s="37">
        <v>0</v>
      </c>
      <c r="E13" s="130"/>
      <c r="F13" s="131"/>
      <c r="G13" s="131"/>
      <c r="H13" s="131"/>
      <c r="I13" s="131"/>
      <c r="J13" s="131"/>
      <c r="K13" s="132"/>
      <c r="L13" s="38">
        <f t="shared" si="0"/>
        <v>0</v>
      </c>
      <c r="M13" s="37">
        <v>0</v>
      </c>
      <c r="N13" s="130"/>
      <c r="O13" s="131"/>
      <c r="P13" s="131"/>
      <c r="Q13" s="131"/>
      <c r="R13" s="131"/>
      <c r="S13" s="131"/>
      <c r="T13" s="132"/>
      <c r="U13" s="38">
        <f t="shared" si="1"/>
        <v>0</v>
      </c>
      <c r="V13" s="37">
        <v>0</v>
      </c>
      <c r="W13" s="46"/>
      <c r="X13" s="46"/>
      <c r="Y13" s="46"/>
      <c r="Z13" s="46"/>
      <c r="AA13" s="46"/>
      <c r="AB13" s="46"/>
      <c r="AC13" s="46"/>
      <c r="AD13" s="38">
        <f t="shared" si="2"/>
        <v>0</v>
      </c>
      <c r="AE13" s="37">
        <v>0</v>
      </c>
      <c r="AF13" s="46"/>
      <c r="AG13" s="46"/>
      <c r="AH13" s="46"/>
      <c r="AI13" s="46"/>
      <c r="AJ13" s="46"/>
      <c r="AK13" s="46"/>
      <c r="AL13" s="46"/>
      <c r="AM13" s="38">
        <f t="shared" si="9"/>
        <v>0</v>
      </c>
      <c r="AN13" s="37">
        <v>0</v>
      </c>
      <c r="AO13" s="46"/>
      <c r="AP13" s="46"/>
      <c r="AQ13" s="46"/>
      <c r="AR13" s="46"/>
      <c r="AS13" s="46"/>
      <c r="AT13" s="46"/>
      <c r="AU13" s="46"/>
      <c r="AV13" s="38">
        <f t="shared" si="10"/>
        <v>0</v>
      </c>
      <c r="AW13" s="37">
        <v>0</v>
      </c>
      <c r="AX13" s="46"/>
      <c r="AY13" s="46"/>
      <c r="AZ13" s="46"/>
      <c r="BA13" s="46"/>
      <c r="BB13" s="46"/>
      <c r="BC13" s="46"/>
      <c r="BD13" s="46"/>
      <c r="BE13" s="38">
        <f t="shared" si="11"/>
        <v>0</v>
      </c>
      <c r="BF13" s="37">
        <v>0</v>
      </c>
      <c r="BG13" s="46"/>
      <c r="BH13" s="46"/>
      <c r="BI13" s="46"/>
      <c r="BJ13" s="46"/>
      <c r="BK13" s="46"/>
      <c r="BL13" s="46"/>
      <c r="BM13" s="46"/>
      <c r="BN13" s="38">
        <f t="shared" si="12"/>
        <v>0</v>
      </c>
      <c r="BO13" s="37">
        <v>0</v>
      </c>
      <c r="BP13" s="46"/>
      <c r="BQ13" s="46"/>
      <c r="BR13" s="46"/>
      <c r="BS13" s="46"/>
      <c r="BT13" s="46"/>
      <c r="BU13" s="46"/>
      <c r="BV13" s="46"/>
      <c r="BW13" s="38">
        <f t="shared" si="13"/>
        <v>0</v>
      </c>
      <c r="BX13" s="37">
        <v>0</v>
      </c>
      <c r="BY13" s="46"/>
      <c r="BZ13" s="46"/>
      <c r="CA13" s="46"/>
      <c r="CB13" s="46"/>
      <c r="CC13" s="46"/>
      <c r="CD13" s="46"/>
      <c r="CE13" s="46"/>
      <c r="CF13" s="38">
        <f t="shared" si="14"/>
        <v>0</v>
      </c>
      <c r="CG13" s="37">
        <v>0</v>
      </c>
      <c r="CH13" s="46"/>
      <c r="CI13" s="46"/>
      <c r="CJ13" s="46"/>
      <c r="CK13" s="46"/>
      <c r="CL13" s="46"/>
      <c r="CM13" s="46"/>
      <c r="CN13" s="46"/>
      <c r="CO13" s="38">
        <f t="shared" si="15"/>
        <v>0</v>
      </c>
      <c r="CP13" s="37">
        <v>0</v>
      </c>
      <c r="CQ13" s="46"/>
      <c r="CR13" s="46"/>
      <c r="CS13" s="46"/>
      <c r="CT13" s="46"/>
      <c r="CU13" s="46"/>
      <c r="CV13" s="46"/>
      <c r="CW13" s="46"/>
      <c r="CX13" s="38">
        <f t="shared" si="16"/>
        <v>0</v>
      </c>
      <c r="CY13" s="37">
        <v>0</v>
      </c>
      <c r="CZ13" s="46"/>
      <c r="DA13" s="46"/>
      <c r="DB13" s="46"/>
      <c r="DC13" s="46"/>
      <c r="DD13" s="46"/>
      <c r="DE13" s="46"/>
      <c r="DF13" s="46"/>
      <c r="DG13" s="38">
        <f t="shared" si="17"/>
        <v>0</v>
      </c>
      <c r="DH13" s="37">
        <v>0</v>
      </c>
      <c r="DI13" s="46"/>
      <c r="DJ13" s="46"/>
      <c r="DK13" s="46"/>
      <c r="DL13" s="46"/>
      <c r="DM13" s="46"/>
      <c r="DN13" s="46"/>
      <c r="DO13" s="46"/>
      <c r="DP13" s="38">
        <f t="shared" si="18"/>
        <v>0</v>
      </c>
      <c r="DQ13" s="37">
        <v>0</v>
      </c>
      <c r="DR13" s="46"/>
      <c r="DS13" s="46"/>
      <c r="DT13" s="46"/>
      <c r="DU13" s="46"/>
      <c r="DV13" s="46"/>
      <c r="DW13" s="46"/>
      <c r="DX13" s="46"/>
      <c r="DY13" s="38">
        <f t="shared" si="19"/>
        <v>0</v>
      </c>
      <c r="DZ13" s="110">
        <v>0</v>
      </c>
      <c r="EA13" s="116"/>
      <c r="EB13" s="46"/>
      <c r="EC13" s="46"/>
      <c r="ED13" s="46"/>
      <c r="EE13" s="46"/>
      <c r="EF13" s="46"/>
      <c r="EG13" s="117"/>
      <c r="EH13" s="114">
        <f t="shared" si="20"/>
        <v>0</v>
      </c>
      <c r="EI13" s="74">
        <f t="shared" si="21"/>
        <v>0</v>
      </c>
      <c r="EJ13" s="75">
        <f t="shared" si="22"/>
        <v>0</v>
      </c>
      <c r="EK13" s="75">
        <f t="shared" si="23"/>
        <v>0</v>
      </c>
      <c r="EL13" s="75">
        <f t="shared" si="24"/>
        <v>0</v>
      </c>
      <c r="EM13" s="75">
        <f t="shared" si="25"/>
        <v>0</v>
      </c>
      <c r="EN13" s="75">
        <f t="shared" si="26"/>
        <v>0</v>
      </c>
      <c r="EO13" s="76">
        <f t="shared" si="27"/>
        <v>0</v>
      </c>
      <c r="EP13" s="71">
        <f t="shared" si="28"/>
        <v>0</v>
      </c>
      <c r="EQ13" s="71">
        <f t="shared" si="29"/>
        <v>0</v>
      </c>
      <c r="ER13" s="71">
        <f t="shared" si="30"/>
        <v>0</v>
      </c>
      <c r="ES13" s="71">
        <f t="shared" si="31"/>
        <v>0</v>
      </c>
      <c r="ET13" s="71">
        <f t="shared" si="4"/>
        <v>0</v>
      </c>
      <c r="EU13" s="71">
        <f t="shared" si="5"/>
        <v>0</v>
      </c>
      <c r="EV13" s="71">
        <f t="shared" si="6"/>
        <v>0</v>
      </c>
      <c r="EW13" s="15" t="e">
        <f t="shared" si="7"/>
        <v>#DIV/0!</v>
      </c>
      <c r="EX13" s="15" t="e">
        <f t="shared" si="8"/>
        <v>#DIV/0!</v>
      </c>
    </row>
    <row r="14" spans="1:154" ht="18" customHeight="1" thickBot="1" x14ac:dyDescent="0.3">
      <c r="A14" s="260" t="s">
        <v>64</v>
      </c>
      <c r="B14" s="261"/>
      <c r="C14" s="150">
        <f t="shared" si="32"/>
        <v>0</v>
      </c>
      <c r="D14" s="37">
        <v>0</v>
      </c>
      <c r="E14" s="130"/>
      <c r="F14" s="131"/>
      <c r="G14" s="131"/>
      <c r="H14" s="131"/>
      <c r="I14" s="131"/>
      <c r="J14" s="131"/>
      <c r="K14" s="132"/>
      <c r="L14" s="38">
        <f t="shared" si="0"/>
        <v>0</v>
      </c>
      <c r="M14" s="37">
        <v>0</v>
      </c>
      <c r="N14" s="130"/>
      <c r="O14" s="131"/>
      <c r="P14" s="131"/>
      <c r="Q14" s="131"/>
      <c r="R14" s="131"/>
      <c r="S14" s="131"/>
      <c r="T14" s="132"/>
      <c r="U14" s="38">
        <f t="shared" si="1"/>
        <v>0</v>
      </c>
      <c r="V14" s="37">
        <v>0</v>
      </c>
      <c r="W14" s="46"/>
      <c r="X14" s="46"/>
      <c r="Y14" s="46"/>
      <c r="Z14" s="46"/>
      <c r="AA14" s="46"/>
      <c r="AB14" s="46"/>
      <c r="AC14" s="46"/>
      <c r="AD14" s="38">
        <f t="shared" si="2"/>
        <v>0</v>
      </c>
      <c r="AE14" s="37">
        <v>0</v>
      </c>
      <c r="AF14" s="46"/>
      <c r="AG14" s="46"/>
      <c r="AH14" s="46"/>
      <c r="AI14" s="46"/>
      <c r="AJ14" s="46"/>
      <c r="AK14" s="46"/>
      <c r="AL14" s="46"/>
      <c r="AM14" s="38">
        <f t="shared" si="9"/>
        <v>0</v>
      </c>
      <c r="AN14" s="37">
        <v>0</v>
      </c>
      <c r="AO14" s="46"/>
      <c r="AP14" s="46"/>
      <c r="AQ14" s="46"/>
      <c r="AR14" s="46"/>
      <c r="AS14" s="46"/>
      <c r="AT14" s="46"/>
      <c r="AU14" s="46"/>
      <c r="AV14" s="38">
        <f t="shared" si="10"/>
        <v>0</v>
      </c>
      <c r="AW14" s="37">
        <v>0</v>
      </c>
      <c r="AX14" s="46"/>
      <c r="AY14" s="46"/>
      <c r="AZ14" s="46"/>
      <c r="BA14" s="46"/>
      <c r="BB14" s="46"/>
      <c r="BC14" s="46"/>
      <c r="BD14" s="46"/>
      <c r="BE14" s="38">
        <f t="shared" si="11"/>
        <v>0</v>
      </c>
      <c r="BF14" s="37">
        <v>0</v>
      </c>
      <c r="BG14" s="46"/>
      <c r="BH14" s="46"/>
      <c r="BI14" s="46"/>
      <c r="BJ14" s="46"/>
      <c r="BK14" s="46"/>
      <c r="BL14" s="46"/>
      <c r="BM14" s="46"/>
      <c r="BN14" s="38">
        <f t="shared" si="12"/>
        <v>0</v>
      </c>
      <c r="BO14" s="37">
        <v>0</v>
      </c>
      <c r="BP14" s="46"/>
      <c r="BQ14" s="46"/>
      <c r="BR14" s="46"/>
      <c r="BS14" s="46"/>
      <c r="BT14" s="46"/>
      <c r="BU14" s="46"/>
      <c r="BV14" s="46"/>
      <c r="BW14" s="38">
        <f t="shared" si="13"/>
        <v>0</v>
      </c>
      <c r="BX14" s="37">
        <v>0</v>
      </c>
      <c r="BY14" s="46"/>
      <c r="BZ14" s="46"/>
      <c r="CA14" s="46"/>
      <c r="CB14" s="46"/>
      <c r="CC14" s="46"/>
      <c r="CD14" s="46"/>
      <c r="CE14" s="46"/>
      <c r="CF14" s="38">
        <f t="shared" si="14"/>
        <v>0</v>
      </c>
      <c r="CG14" s="37">
        <v>0</v>
      </c>
      <c r="CH14" s="46"/>
      <c r="CI14" s="46"/>
      <c r="CJ14" s="46"/>
      <c r="CK14" s="46"/>
      <c r="CL14" s="46"/>
      <c r="CM14" s="46"/>
      <c r="CN14" s="46"/>
      <c r="CO14" s="38">
        <f t="shared" si="15"/>
        <v>0</v>
      </c>
      <c r="CP14" s="37">
        <v>0</v>
      </c>
      <c r="CQ14" s="46"/>
      <c r="CR14" s="46"/>
      <c r="CS14" s="46"/>
      <c r="CT14" s="46"/>
      <c r="CU14" s="46"/>
      <c r="CV14" s="46"/>
      <c r="CW14" s="46"/>
      <c r="CX14" s="38">
        <f t="shared" si="16"/>
        <v>0</v>
      </c>
      <c r="CY14" s="37">
        <v>0</v>
      </c>
      <c r="CZ14" s="46"/>
      <c r="DA14" s="46"/>
      <c r="DB14" s="46"/>
      <c r="DC14" s="46"/>
      <c r="DD14" s="46"/>
      <c r="DE14" s="46"/>
      <c r="DF14" s="46"/>
      <c r="DG14" s="38">
        <f t="shared" si="17"/>
        <v>0</v>
      </c>
      <c r="DH14" s="37">
        <v>0</v>
      </c>
      <c r="DI14" s="46"/>
      <c r="DJ14" s="46"/>
      <c r="DK14" s="46"/>
      <c r="DL14" s="46"/>
      <c r="DM14" s="46"/>
      <c r="DN14" s="46"/>
      <c r="DO14" s="46"/>
      <c r="DP14" s="38">
        <f t="shared" si="18"/>
        <v>0</v>
      </c>
      <c r="DQ14" s="37">
        <v>0</v>
      </c>
      <c r="DR14" s="46"/>
      <c r="DS14" s="46"/>
      <c r="DT14" s="46"/>
      <c r="DU14" s="46"/>
      <c r="DV14" s="46"/>
      <c r="DW14" s="46"/>
      <c r="DX14" s="46"/>
      <c r="DY14" s="38">
        <f t="shared" si="19"/>
        <v>0</v>
      </c>
      <c r="DZ14" s="110">
        <v>0</v>
      </c>
      <c r="EA14" s="116"/>
      <c r="EB14" s="46"/>
      <c r="EC14" s="46"/>
      <c r="ED14" s="46"/>
      <c r="EE14" s="46"/>
      <c r="EF14" s="46"/>
      <c r="EG14" s="117"/>
      <c r="EH14" s="114">
        <f t="shared" si="20"/>
        <v>0</v>
      </c>
      <c r="EI14" s="74">
        <f t="shared" si="21"/>
        <v>0</v>
      </c>
      <c r="EJ14" s="75">
        <f t="shared" si="22"/>
        <v>0</v>
      </c>
      <c r="EK14" s="75">
        <f t="shared" si="23"/>
        <v>0</v>
      </c>
      <c r="EL14" s="75">
        <f t="shared" si="24"/>
        <v>0</v>
      </c>
      <c r="EM14" s="75">
        <f t="shared" si="25"/>
        <v>0</v>
      </c>
      <c r="EN14" s="75">
        <f t="shared" si="26"/>
        <v>0</v>
      </c>
      <c r="EO14" s="76">
        <f t="shared" si="27"/>
        <v>0</v>
      </c>
      <c r="EP14" s="71">
        <f t="shared" si="28"/>
        <v>0</v>
      </c>
      <c r="EQ14" s="71">
        <f t="shared" si="29"/>
        <v>0</v>
      </c>
      <c r="ER14" s="71">
        <f t="shared" si="30"/>
        <v>0</v>
      </c>
      <c r="ES14" s="71">
        <f t="shared" si="31"/>
        <v>0</v>
      </c>
      <c r="ET14" s="71">
        <f t="shared" si="4"/>
        <v>0</v>
      </c>
      <c r="EU14" s="71">
        <f t="shared" si="5"/>
        <v>0</v>
      </c>
      <c r="EV14" s="71">
        <f t="shared" si="6"/>
        <v>0</v>
      </c>
      <c r="EW14" s="15" t="e">
        <f t="shared" si="7"/>
        <v>#DIV/0!</v>
      </c>
      <c r="EX14" s="15" t="e">
        <f t="shared" si="8"/>
        <v>#DIV/0!</v>
      </c>
    </row>
    <row r="15" spans="1:154" ht="18" customHeight="1" thickBot="1" x14ac:dyDescent="0.3">
      <c r="A15" s="260"/>
      <c r="B15" s="261"/>
      <c r="C15" s="150">
        <v>0</v>
      </c>
      <c r="D15" s="37">
        <v>0</v>
      </c>
      <c r="E15" s="130"/>
      <c r="F15" s="131"/>
      <c r="G15" s="131"/>
      <c r="H15" s="131"/>
      <c r="I15" s="131"/>
      <c r="J15" s="131"/>
      <c r="K15" s="132"/>
      <c r="L15" s="38">
        <f t="shared" si="0"/>
        <v>0</v>
      </c>
      <c r="M15" s="37">
        <v>0</v>
      </c>
      <c r="N15" s="130"/>
      <c r="O15" s="131"/>
      <c r="P15" s="131"/>
      <c r="Q15" s="131"/>
      <c r="R15" s="131"/>
      <c r="S15" s="131"/>
      <c r="T15" s="132"/>
      <c r="U15" s="38">
        <f t="shared" si="1"/>
        <v>0</v>
      </c>
      <c r="V15" s="37">
        <v>0</v>
      </c>
      <c r="W15" s="46"/>
      <c r="X15" s="46"/>
      <c r="Y15" s="46"/>
      <c r="Z15" s="46"/>
      <c r="AA15" s="46"/>
      <c r="AB15" s="46"/>
      <c r="AC15" s="46"/>
      <c r="AD15" s="38">
        <f t="shared" si="2"/>
        <v>0</v>
      </c>
      <c r="AE15" s="37">
        <v>0</v>
      </c>
      <c r="AF15" s="46"/>
      <c r="AG15" s="46"/>
      <c r="AH15" s="46"/>
      <c r="AI15" s="46"/>
      <c r="AJ15" s="46"/>
      <c r="AK15" s="46"/>
      <c r="AL15" s="46"/>
      <c r="AM15" s="38">
        <f t="shared" si="9"/>
        <v>0</v>
      </c>
      <c r="AN15" s="37">
        <v>0</v>
      </c>
      <c r="AO15" s="46"/>
      <c r="AP15" s="46"/>
      <c r="AQ15" s="46"/>
      <c r="AR15" s="46"/>
      <c r="AS15" s="46"/>
      <c r="AT15" s="46"/>
      <c r="AU15" s="46"/>
      <c r="AV15" s="38">
        <f t="shared" si="10"/>
        <v>0</v>
      </c>
      <c r="AW15" s="37">
        <v>0</v>
      </c>
      <c r="AX15" s="46"/>
      <c r="AY15" s="46"/>
      <c r="AZ15" s="46"/>
      <c r="BA15" s="46"/>
      <c r="BB15" s="46"/>
      <c r="BC15" s="46"/>
      <c r="BD15" s="46"/>
      <c r="BE15" s="38">
        <f t="shared" si="11"/>
        <v>0</v>
      </c>
      <c r="BF15" s="37">
        <v>0</v>
      </c>
      <c r="BG15" s="46"/>
      <c r="BH15" s="46"/>
      <c r="BI15" s="46"/>
      <c r="BJ15" s="46"/>
      <c r="BK15" s="46"/>
      <c r="BL15" s="46"/>
      <c r="BM15" s="46"/>
      <c r="BN15" s="38">
        <f t="shared" si="12"/>
        <v>0</v>
      </c>
      <c r="BO15" s="37">
        <v>0</v>
      </c>
      <c r="BP15" s="46"/>
      <c r="BQ15" s="46"/>
      <c r="BR15" s="46"/>
      <c r="BS15" s="46"/>
      <c r="BT15" s="46"/>
      <c r="BU15" s="46"/>
      <c r="BV15" s="46"/>
      <c r="BW15" s="38">
        <f t="shared" si="13"/>
        <v>0</v>
      </c>
      <c r="BX15" s="37">
        <v>0</v>
      </c>
      <c r="BY15" s="46"/>
      <c r="BZ15" s="46"/>
      <c r="CA15" s="46"/>
      <c r="CB15" s="46"/>
      <c r="CC15" s="46"/>
      <c r="CD15" s="46"/>
      <c r="CE15" s="46"/>
      <c r="CF15" s="38">
        <f t="shared" si="14"/>
        <v>0</v>
      </c>
      <c r="CG15" s="37">
        <v>0</v>
      </c>
      <c r="CH15" s="46"/>
      <c r="CI15" s="46"/>
      <c r="CJ15" s="46"/>
      <c r="CK15" s="46"/>
      <c r="CL15" s="46"/>
      <c r="CM15" s="46"/>
      <c r="CN15" s="46"/>
      <c r="CO15" s="38">
        <f t="shared" si="15"/>
        <v>0</v>
      </c>
      <c r="CP15" s="37">
        <v>0</v>
      </c>
      <c r="CQ15" s="46"/>
      <c r="CR15" s="46"/>
      <c r="CS15" s="46"/>
      <c r="CT15" s="46"/>
      <c r="CU15" s="46"/>
      <c r="CV15" s="46"/>
      <c r="CW15" s="46"/>
      <c r="CX15" s="38">
        <f t="shared" si="16"/>
        <v>0</v>
      </c>
      <c r="CY15" s="37">
        <v>0</v>
      </c>
      <c r="CZ15" s="46"/>
      <c r="DA15" s="46"/>
      <c r="DB15" s="46"/>
      <c r="DC15" s="46"/>
      <c r="DD15" s="46"/>
      <c r="DE15" s="46"/>
      <c r="DF15" s="46"/>
      <c r="DG15" s="38">
        <f t="shared" si="17"/>
        <v>0</v>
      </c>
      <c r="DH15" s="37">
        <v>0</v>
      </c>
      <c r="DI15" s="46"/>
      <c r="DJ15" s="46"/>
      <c r="DK15" s="46"/>
      <c r="DL15" s="46"/>
      <c r="DM15" s="46"/>
      <c r="DN15" s="46"/>
      <c r="DO15" s="46"/>
      <c r="DP15" s="38">
        <f t="shared" si="18"/>
        <v>0</v>
      </c>
      <c r="DQ15" s="37">
        <v>0</v>
      </c>
      <c r="DR15" s="46"/>
      <c r="DS15" s="46"/>
      <c r="DT15" s="46"/>
      <c r="DU15" s="46"/>
      <c r="DV15" s="46"/>
      <c r="DW15" s="46"/>
      <c r="DX15" s="46"/>
      <c r="DY15" s="38">
        <f t="shared" si="19"/>
        <v>0</v>
      </c>
      <c r="DZ15" s="110">
        <v>0</v>
      </c>
      <c r="EA15" s="116"/>
      <c r="EB15" s="46"/>
      <c r="EC15" s="46"/>
      <c r="ED15" s="46"/>
      <c r="EE15" s="46"/>
      <c r="EF15" s="46"/>
      <c r="EG15" s="117"/>
      <c r="EH15" s="114">
        <f t="shared" si="20"/>
        <v>0</v>
      </c>
      <c r="EI15" s="74">
        <f t="shared" si="21"/>
        <v>0</v>
      </c>
      <c r="EJ15" s="75">
        <f t="shared" si="22"/>
        <v>0</v>
      </c>
      <c r="EK15" s="75">
        <f t="shared" si="23"/>
        <v>0</v>
      </c>
      <c r="EL15" s="75">
        <f t="shared" si="24"/>
        <v>0</v>
      </c>
      <c r="EM15" s="75">
        <f t="shared" si="25"/>
        <v>0</v>
      </c>
      <c r="EN15" s="75">
        <f t="shared" si="26"/>
        <v>0</v>
      </c>
      <c r="EO15" s="76">
        <f t="shared" si="27"/>
        <v>0</v>
      </c>
      <c r="EP15" s="71">
        <f t="shared" si="28"/>
        <v>0</v>
      </c>
      <c r="EQ15" s="71">
        <f t="shared" si="29"/>
        <v>0</v>
      </c>
      <c r="ER15" s="71">
        <f t="shared" si="30"/>
        <v>0</v>
      </c>
      <c r="ES15" s="71">
        <f t="shared" si="31"/>
        <v>0</v>
      </c>
      <c r="ET15" s="71">
        <f t="shared" si="4"/>
        <v>0</v>
      </c>
      <c r="EU15" s="71">
        <f t="shared" si="5"/>
        <v>0</v>
      </c>
      <c r="EV15" s="71">
        <f t="shared" si="6"/>
        <v>0</v>
      </c>
      <c r="EW15" s="15" t="e">
        <f t="shared" si="7"/>
        <v>#DIV/0!</v>
      </c>
      <c r="EX15" s="15" t="e">
        <f t="shared" si="8"/>
        <v>#DIV/0!</v>
      </c>
    </row>
    <row r="16" spans="1:154" ht="18" customHeight="1" thickBot="1" x14ac:dyDescent="0.3">
      <c r="A16" s="260" t="s">
        <v>65</v>
      </c>
      <c r="B16" s="261"/>
      <c r="C16" s="150">
        <f t="shared" si="32"/>
        <v>0</v>
      </c>
      <c r="D16" s="37">
        <v>0</v>
      </c>
      <c r="E16" s="130"/>
      <c r="F16" s="131"/>
      <c r="G16" s="131"/>
      <c r="H16" s="131"/>
      <c r="I16" s="131"/>
      <c r="J16" s="131"/>
      <c r="K16" s="132"/>
      <c r="L16" s="38">
        <f t="shared" si="0"/>
        <v>0</v>
      </c>
      <c r="M16" s="37">
        <v>0</v>
      </c>
      <c r="N16" s="130"/>
      <c r="O16" s="131"/>
      <c r="P16" s="131"/>
      <c r="Q16" s="131"/>
      <c r="R16" s="131"/>
      <c r="S16" s="131"/>
      <c r="T16" s="132"/>
      <c r="U16" s="38">
        <f t="shared" si="1"/>
        <v>0</v>
      </c>
      <c r="V16" s="37">
        <v>0</v>
      </c>
      <c r="W16" s="46"/>
      <c r="X16" s="46"/>
      <c r="Y16" s="46"/>
      <c r="Z16" s="46"/>
      <c r="AA16" s="46"/>
      <c r="AB16" s="46"/>
      <c r="AC16" s="46"/>
      <c r="AD16" s="38">
        <f t="shared" si="2"/>
        <v>0</v>
      </c>
      <c r="AE16" s="37">
        <v>0</v>
      </c>
      <c r="AF16" s="46"/>
      <c r="AG16" s="46"/>
      <c r="AH16" s="46"/>
      <c r="AI16" s="46"/>
      <c r="AJ16" s="46"/>
      <c r="AK16" s="46"/>
      <c r="AL16" s="46"/>
      <c r="AM16" s="38">
        <f t="shared" si="9"/>
        <v>0</v>
      </c>
      <c r="AN16" s="37">
        <v>0</v>
      </c>
      <c r="AO16" s="46"/>
      <c r="AP16" s="46"/>
      <c r="AQ16" s="46"/>
      <c r="AR16" s="46"/>
      <c r="AS16" s="46"/>
      <c r="AT16" s="46"/>
      <c r="AU16" s="46"/>
      <c r="AV16" s="38">
        <f t="shared" si="10"/>
        <v>0</v>
      </c>
      <c r="AW16" s="37">
        <v>0</v>
      </c>
      <c r="AX16" s="46"/>
      <c r="AY16" s="46"/>
      <c r="AZ16" s="46"/>
      <c r="BA16" s="46"/>
      <c r="BB16" s="46"/>
      <c r="BC16" s="46"/>
      <c r="BD16" s="46"/>
      <c r="BE16" s="38">
        <f t="shared" si="11"/>
        <v>0</v>
      </c>
      <c r="BF16" s="37">
        <v>0</v>
      </c>
      <c r="BG16" s="46"/>
      <c r="BH16" s="46"/>
      <c r="BI16" s="46"/>
      <c r="BJ16" s="46"/>
      <c r="BK16" s="46"/>
      <c r="BL16" s="46"/>
      <c r="BM16" s="46"/>
      <c r="BN16" s="38">
        <f t="shared" si="12"/>
        <v>0</v>
      </c>
      <c r="BO16" s="37">
        <v>0</v>
      </c>
      <c r="BP16" s="46"/>
      <c r="BQ16" s="46"/>
      <c r="BR16" s="46"/>
      <c r="BS16" s="46"/>
      <c r="BT16" s="46"/>
      <c r="BU16" s="46"/>
      <c r="BV16" s="46"/>
      <c r="BW16" s="38">
        <f t="shared" si="13"/>
        <v>0</v>
      </c>
      <c r="BX16" s="37">
        <v>0</v>
      </c>
      <c r="BY16" s="46"/>
      <c r="BZ16" s="46"/>
      <c r="CA16" s="46"/>
      <c r="CB16" s="46"/>
      <c r="CC16" s="46"/>
      <c r="CD16" s="46"/>
      <c r="CE16" s="46"/>
      <c r="CF16" s="38">
        <f t="shared" si="14"/>
        <v>0</v>
      </c>
      <c r="CG16" s="37">
        <v>0</v>
      </c>
      <c r="CH16" s="46"/>
      <c r="CI16" s="46"/>
      <c r="CJ16" s="46"/>
      <c r="CK16" s="46"/>
      <c r="CL16" s="46"/>
      <c r="CM16" s="46"/>
      <c r="CN16" s="46"/>
      <c r="CO16" s="38">
        <f t="shared" si="15"/>
        <v>0</v>
      </c>
      <c r="CP16" s="37">
        <v>0</v>
      </c>
      <c r="CQ16" s="46"/>
      <c r="CR16" s="46"/>
      <c r="CS16" s="46"/>
      <c r="CT16" s="46"/>
      <c r="CU16" s="46"/>
      <c r="CV16" s="46"/>
      <c r="CW16" s="46"/>
      <c r="CX16" s="38">
        <f t="shared" si="16"/>
        <v>0</v>
      </c>
      <c r="CY16" s="37">
        <v>0</v>
      </c>
      <c r="CZ16" s="46"/>
      <c r="DA16" s="46"/>
      <c r="DB16" s="46"/>
      <c r="DC16" s="46"/>
      <c r="DD16" s="46"/>
      <c r="DE16" s="46"/>
      <c r="DF16" s="46"/>
      <c r="DG16" s="38">
        <f t="shared" si="17"/>
        <v>0</v>
      </c>
      <c r="DH16" s="37">
        <v>0</v>
      </c>
      <c r="DI16" s="46"/>
      <c r="DJ16" s="46"/>
      <c r="DK16" s="46"/>
      <c r="DL16" s="46"/>
      <c r="DM16" s="46"/>
      <c r="DN16" s="46"/>
      <c r="DO16" s="46"/>
      <c r="DP16" s="38">
        <f t="shared" si="18"/>
        <v>0</v>
      </c>
      <c r="DQ16" s="37">
        <v>0</v>
      </c>
      <c r="DR16" s="46"/>
      <c r="DS16" s="46"/>
      <c r="DT16" s="46"/>
      <c r="DU16" s="46"/>
      <c r="DV16" s="46"/>
      <c r="DW16" s="46"/>
      <c r="DX16" s="46"/>
      <c r="DY16" s="38">
        <f t="shared" si="19"/>
        <v>0</v>
      </c>
      <c r="DZ16" s="110">
        <v>0</v>
      </c>
      <c r="EA16" s="116"/>
      <c r="EB16" s="46"/>
      <c r="EC16" s="46"/>
      <c r="ED16" s="46"/>
      <c r="EE16" s="46"/>
      <c r="EF16" s="46"/>
      <c r="EG16" s="117"/>
      <c r="EH16" s="114">
        <f t="shared" si="20"/>
        <v>0</v>
      </c>
      <c r="EI16" s="74">
        <f t="shared" si="21"/>
        <v>0</v>
      </c>
      <c r="EJ16" s="75">
        <f t="shared" si="22"/>
        <v>0</v>
      </c>
      <c r="EK16" s="75">
        <f t="shared" si="23"/>
        <v>0</v>
      </c>
      <c r="EL16" s="75">
        <f t="shared" si="24"/>
        <v>0</v>
      </c>
      <c r="EM16" s="75">
        <f t="shared" si="25"/>
        <v>0</v>
      </c>
      <c r="EN16" s="75">
        <f t="shared" si="26"/>
        <v>0</v>
      </c>
      <c r="EO16" s="76">
        <f t="shared" si="27"/>
        <v>0</v>
      </c>
      <c r="EP16" s="71">
        <f t="shared" si="28"/>
        <v>0</v>
      </c>
      <c r="EQ16" s="71">
        <f t="shared" si="29"/>
        <v>0</v>
      </c>
      <c r="ER16" s="71">
        <f t="shared" si="30"/>
        <v>0</v>
      </c>
      <c r="ES16" s="71">
        <f t="shared" si="31"/>
        <v>0</v>
      </c>
      <c r="ET16" s="71">
        <f t="shared" si="4"/>
        <v>0</v>
      </c>
      <c r="EU16" s="71">
        <f t="shared" si="5"/>
        <v>0</v>
      </c>
      <c r="EV16" s="71">
        <f t="shared" si="6"/>
        <v>0</v>
      </c>
      <c r="EW16" s="15" t="e">
        <f t="shared" si="7"/>
        <v>#DIV/0!</v>
      </c>
      <c r="EX16" s="15" t="e">
        <f t="shared" si="8"/>
        <v>#DIV/0!</v>
      </c>
    </row>
    <row r="17" spans="1:154" ht="18" customHeight="1" thickBot="1" x14ac:dyDescent="0.3">
      <c r="A17" s="260"/>
      <c r="B17" s="261"/>
      <c r="C17" s="150">
        <v>0</v>
      </c>
      <c r="D17" s="37">
        <v>0</v>
      </c>
      <c r="E17" s="130"/>
      <c r="F17" s="131"/>
      <c r="G17" s="131"/>
      <c r="H17" s="131"/>
      <c r="I17" s="131"/>
      <c r="J17" s="131"/>
      <c r="K17" s="132"/>
      <c r="L17" s="38">
        <f t="shared" si="0"/>
        <v>0</v>
      </c>
      <c r="M17" s="37">
        <v>0</v>
      </c>
      <c r="N17" s="130"/>
      <c r="O17" s="131"/>
      <c r="P17" s="131"/>
      <c r="Q17" s="131"/>
      <c r="R17" s="131"/>
      <c r="S17" s="131"/>
      <c r="T17" s="132"/>
      <c r="U17" s="38">
        <f t="shared" si="1"/>
        <v>0</v>
      </c>
      <c r="V17" s="37">
        <v>0</v>
      </c>
      <c r="W17" s="46"/>
      <c r="X17" s="46"/>
      <c r="Y17" s="46"/>
      <c r="Z17" s="46"/>
      <c r="AA17" s="46"/>
      <c r="AB17" s="46"/>
      <c r="AC17" s="46"/>
      <c r="AD17" s="38">
        <f t="shared" si="2"/>
        <v>0</v>
      </c>
      <c r="AE17" s="37">
        <v>0</v>
      </c>
      <c r="AF17" s="46"/>
      <c r="AG17" s="46"/>
      <c r="AH17" s="46"/>
      <c r="AI17" s="46"/>
      <c r="AJ17" s="46"/>
      <c r="AK17" s="46"/>
      <c r="AL17" s="46"/>
      <c r="AM17" s="38">
        <f t="shared" si="9"/>
        <v>0</v>
      </c>
      <c r="AN17" s="37">
        <v>0</v>
      </c>
      <c r="AO17" s="46"/>
      <c r="AP17" s="46"/>
      <c r="AQ17" s="46"/>
      <c r="AR17" s="46"/>
      <c r="AS17" s="46"/>
      <c r="AT17" s="46"/>
      <c r="AU17" s="46"/>
      <c r="AV17" s="38">
        <f t="shared" si="10"/>
        <v>0</v>
      </c>
      <c r="AW17" s="37">
        <v>0</v>
      </c>
      <c r="AX17" s="46"/>
      <c r="AY17" s="46"/>
      <c r="AZ17" s="46"/>
      <c r="BA17" s="46"/>
      <c r="BB17" s="46"/>
      <c r="BC17" s="46"/>
      <c r="BD17" s="46"/>
      <c r="BE17" s="38">
        <f t="shared" si="11"/>
        <v>0</v>
      </c>
      <c r="BF17" s="37">
        <v>0</v>
      </c>
      <c r="BG17" s="46"/>
      <c r="BH17" s="46"/>
      <c r="BI17" s="46"/>
      <c r="BJ17" s="46"/>
      <c r="BK17" s="46"/>
      <c r="BL17" s="46"/>
      <c r="BM17" s="46"/>
      <c r="BN17" s="38">
        <f t="shared" si="12"/>
        <v>0</v>
      </c>
      <c r="BO17" s="37">
        <v>0</v>
      </c>
      <c r="BP17" s="46"/>
      <c r="BQ17" s="46"/>
      <c r="BR17" s="46"/>
      <c r="BS17" s="46"/>
      <c r="BT17" s="46"/>
      <c r="BU17" s="46"/>
      <c r="BV17" s="46"/>
      <c r="BW17" s="38">
        <f t="shared" si="13"/>
        <v>0</v>
      </c>
      <c r="BX17" s="37">
        <v>0</v>
      </c>
      <c r="BY17" s="46"/>
      <c r="BZ17" s="46"/>
      <c r="CA17" s="46"/>
      <c r="CB17" s="46"/>
      <c r="CC17" s="46"/>
      <c r="CD17" s="46"/>
      <c r="CE17" s="46"/>
      <c r="CF17" s="38">
        <f t="shared" si="14"/>
        <v>0</v>
      </c>
      <c r="CG17" s="37">
        <v>0</v>
      </c>
      <c r="CH17" s="46"/>
      <c r="CI17" s="46"/>
      <c r="CJ17" s="46"/>
      <c r="CK17" s="46"/>
      <c r="CL17" s="46"/>
      <c r="CM17" s="46"/>
      <c r="CN17" s="46"/>
      <c r="CO17" s="38">
        <f t="shared" si="15"/>
        <v>0</v>
      </c>
      <c r="CP17" s="37">
        <v>0</v>
      </c>
      <c r="CQ17" s="46"/>
      <c r="CR17" s="46"/>
      <c r="CS17" s="46"/>
      <c r="CT17" s="46"/>
      <c r="CU17" s="46"/>
      <c r="CV17" s="46"/>
      <c r="CW17" s="46"/>
      <c r="CX17" s="38">
        <f t="shared" si="16"/>
        <v>0</v>
      </c>
      <c r="CY17" s="37">
        <v>0</v>
      </c>
      <c r="CZ17" s="46"/>
      <c r="DA17" s="46"/>
      <c r="DB17" s="46"/>
      <c r="DC17" s="46"/>
      <c r="DD17" s="46"/>
      <c r="DE17" s="46"/>
      <c r="DF17" s="46"/>
      <c r="DG17" s="38">
        <f t="shared" si="17"/>
        <v>0</v>
      </c>
      <c r="DH17" s="37">
        <v>0</v>
      </c>
      <c r="DI17" s="46"/>
      <c r="DJ17" s="46"/>
      <c r="DK17" s="46"/>
      <c r="DL17" s="46"/>
      <c r="DM17" s="46"/>
      <c r="DN17" s="46"/>
      <c r="DO17" s="46"/>
      <c r="DP17" s="38">
        <f t="shared" si="18"/>
        <v>0</v>
      </c>
      <c r="DQ17" s="37">
        <v>0</v>
      </c>
      <c r="DR17" s="46"/>
      <c r="DS17" s="46"/>
      <c r="DT17" s="46"/>
      <c r="DU17" s="46"/>
      <c r="DV17" s="46"/>
      <c r="DW17" s="46"/>
      <c r="DX17" s="46"/>
      <c r="DY17" s="38">
        <f t="shared" si="19"/>
        <v>0</v>
      </c>
      <c r="DZ17" s="110">
        <v>0</v>
      </c>
      <c r="EA17" s="116"/>
      <c r="EB17" s="46"/>
      <c r="EC17" s="46"/>
      <c r="ED17" s="46"/>
      <c r="EE17" s="46"/>
      <c r="EF17" s="46"/>
      <c r="EG17" s="117"/>
      <c r="EH17" s="114">
        <f t="shared" si="20"/>
        <v>0</v>
      </c>
      <c r="EI17" s="74">
        <f t="shared" si="21"/>
        <v>0</v>
      </c>
      <c r="EJ17" s="75">
        <f t="shared" si="22"/>
        <v>0</v>
      </c>
      <c r="EK17" s="75">
        <f t="shared" si="23"/>
        <v>0</v>
      </c>
      <c r="EL17" s="75">
        <f t="shared" si="24"/>
        <v>0</v>
      </c>
      <c r="EM17" s="75">
        <f t="shared" si="25"/>
        <v>0</v>
      </c>
      <c r="EN17" s="75">
        <f t="shared" si="26"/>
        <v>0</v>
      </c>
      <c r="EO17" s="76">
        <f t="shared" si="27"/>
        <v>0</v>
      </c>
      <c r="EP17" s="71">
        <f>IF(EH17=0,0,EI17*0.2)</f>
        <v>0</v>
      </c>
      <c r="EQ17" s="71">
        <f t="shared" si="29"/>
        <v>0</v>
      </c>
      <c r="ER17" s="71">
        <f t="shared" si="30"/>
        <v>0</v>
      </c>
      <c r="ES17" s="71">
        <f t="shared" si="31"/>
        <v>0</v>
      </c>
      <c r="ET17" s="71">
        <f t="shared" si="4"/>
        <v>0</v>
      </c>
      <c r="EU17" s="71">
        <f t="shared" si="5"/>
        <v>0</v>
      </c>
      <c r="EV17" s="71">
        <f t="shared" si="6"/>
        <v>0</v>
      </c>
      <c r="EW17" s="15" t="e">
        <f t="shared" si="7"/>
        <v>#DIV/0!</v>
      </c>
      <c r="EX17" s="15" t="e">
        <f t="shared" si="8"/>
        <v>#DIV/0!</v>
      </c>
    </row>
    <row r="18" spans="1:154" ht="18" customHeight="1" thickBot="1" x14ac:dyDescent="0.3">
      <c r="A18" s="260" t="s">
        <v>66</v>
      </c>
      <c r="B18" s="261"/>
      <c r="C18" s="150">
        <f t="shared" si="32"/>
        <v>0</v>
      </c>
      <c r="D18" s="37">
        <v>0</v>
      </c>
      <c r="E18" s="130"/>
      <c r="F18" s="131"/>
      <c r="G18" s="131"/>
      <c r="H18" s="131"/>
      <c r="I18" s="131"/>
      <c r="J18" s="131"/>
      <c r="K18" s="132"/>
      <c r="L18" s="38">
        <f t="shared" si="0"/>
        <v>0</v>
      </c>
      <c r="M18" s="37">
        <v>0</v>
      </c>
      <c r="N18" s="130"/>
      <c r="O18" s="131"/>
      <c r="P18" s="131"/>
      <c r="Q18" s="131"/>
      <c r="R18" s="131"/>
      <c r="S18" s="131"/>
      <c r="T18" s="132"/>
      <c r="U18" s="38">
        <f t="shared" si="1"/>
        <v>0</v>
      </c>
      <c r="V18" s="37">
        <v>0</v>
      </c>
      <c r="W18" s="46"/>
      <c r="X18" s="46"/>
      <c r="Y18" s="46"/>
      <c r="Z18" s="46"/>
      <c r="AA18" s="46"/>
      <c r="AB18" s="46"/>
      <c r="AC18" s="46"/>
      <c r="AD18" s="38">
        <f t="shared" si="2"/>
        <v>0</v>
      </c>
      <c r="AE18" s="37">
        <v>0</v>
      </c>
      <c r="AF18" s="46"/>
      <c r="AG18" s="46"/>
      <c r="AH18" s="46"/>
      <c r="AI18" s="46"/>
      <c r="AJ18" s="46"/>
      <c r="AK18" s="46"/>
      <c r="AL18" s="46"/>
      <c r="AM18" s="38">
        <f t="shared" si="9"/>
        <v>0</v>
      </c>
      <c r="AN18" s="37">
        <v>0</v>
      </c>
      <c r="AO18" s="46"/>
      <c r="AP18" s="46"/>
      <c r="AQ18" s="46"/>
      <c r="AR18" s="46"/>
      <c r="AS18" s="46"/>
      <c r="AT18" s="46"/>
      <c r="AU18" s="46"/>
      <c r="AV18" s="38">
        <f t="shared" si="10"/>
        <v>0</v>
      </c>
      <c r="AW18" s="37">
        <v>0</v>
      </c>
      <c r="AX18" s="46"/>
      <c r="AY18" s="46"/>
      <c r="AZ18" s="46"/>
      <c r="BA18" s="46"/>
      <c r="BB18" s="46"/>
      <c r="BC18" s="46"/>
      <c r="BD18" s="46"/>
      <c r="BE18" s="38">
        <f t="shared" si="11"/>
        <v>0</v>
      </c>
      <c r="BF18" s="37">
        <v>0</v>
      </c>
      <c r="BG18" s="46"/>
      <c r="BH18" s="46"/>
      <c r="BI18" s="46"/>
      <c r="BJ18" s="46"/>
      <c r="BK18" s="46"/>
      <c r="BL18" s="46"/>
      <c r="BM18" s="46"/>
      <c r="BN18" s="38">
        <f t="shared" si="12"/>
        <v>0</v>
      </c>
      <c r="BO18" s="37">
        <v>0</v>
      </c>
      <c r="BP18" s="46"/>
      <c r="BQ18" s="46"/>
      <c r="BR18" s="46"/>
      <c r="BS18" s="46"/>
      <c r="BT18" s="46"/>
      <c r="BU18" s="46"/>
      <c r="BV18" s="46"/>
      <c r="BW18" s="38">
        <f t="shared" si="13"/>
        <v>0</v>
      </c>
      <c r="BX18" s="37">
        <v>0</v>
      </c>
      <c r="BY18" s="46"/>
      <c r="BZ18" s="46"/>
      <c r="CA18" s="46"/>
      <c r="CB18" s="46"/>
      <c r="CC18" s="46"/>
      <c r="CD18" s="46"/>
      <c r="CE18" s="46"/>
      <c r="CF18" s="38">
        <f t="shared" si="14"/>
        <v>0</v>
      </c>
      <c r="CG18" s="37">
        <v>0</v>
      </c>
      <c r="CH18" s="46"/>
      <c r="CI18" s="46"/>
      <c r="CJ18" s="46"/>
      <c r="CK18" s="46"/>
      <c r="CL18" s="46"/>
      <c r="CM18" s="46"/>
      <c r="CN18" s="46"/>
      <c r="CO18" s="38">
        <f t="shared" si="15"/>
        <v>0</v>
      </c>
      <c r="CP18" s="37">
        <v>0</v>
      </c>
      <c r="CQ18" s="46"/>
      <c r="CR18" s="46"/>
      <c r="CS18" s="46"/>
      <c r="CT18" s="46"/>
      <c r="CU18" s="46"/>
      <c r="CV18" s="46"/>
      <c r="CW18" s="46"/>
      <c r="CX18" s="38">
        <f t="shared" si="16"/>
        <v>0</v>
      </c>
      <c r="CY18" s="37">
        <v>0</v>
      </c>
      <c r="CZ18" s="46"/>
      <c r="DA18" s="46"/>
      <c r="DB18" s="46"/>
      <c r="DC18" s="46"/>
      <c r="DD18" s="46"/>
      <c r="DE18" s="46"/>
      <c r="DF18" s="46"/>
      <c r="DG18" s="38">
        <f t="shared" si="17"/>
        <v>0</v>
      </c>
      <c r="DH18" s="37">
        <v>0</v>
      </c>
      <c r="DI18" s="46"/>
      <c r="DJ18" s="46"/>
      <c r="DK18" s="46"/>
      <c r="DL18" s="46"/>
      <c r="DM18" s="46"/>
      <c r="DN18" s="46"/>
      <c r="DO18" s="46"/>
      <c r="DP18" s="38">
        <f t="shared" si="18"/>
        <v>0</v>
      </c>
      <c r="DQ18" s="37">
        <v>0</v>
      </c>
      <c r="DR18" s="46"/>
      <c r="DS18" s="46"/>
      <c r="DT18" s="46"/>
      <c r="DU18" s="46"/>
      <c r="DV18" s="46"/>
      <c r="DW18" s="46"/>
      <c r="DX18" s="46"/>
      <c r="DY18" s="38">
        <f t="shared" si="19"/>
        <v>0</v>
      </c>
      <c r="DZ18" s="110">
        <v>0</v>
      </c>
      <c r="EA18" s="116"/>
      <c r="EB18" s="46"/>
      <c r="EC18" s="46"/>
      <c r="ED18" s="46"/>
      <c r="EE18" s="46"/>
      <c r="EF18" s="46"/>
      <c r="EG18" s="117"/>
      <c r="EH18" s="114">
        <f t="shared" si="20"/>
        <v>0</v>
      </c>
      <c r="EI18" s="74">
        <f t="shared" si="21"/>
        <v>0</v>
      </c>
      <c r="EJ18" s="75">
        <f t="shared" si="22"/>
        <v>0</v>
      </c>
      <c r="EK18" s="75">
        <f t="shared" si="23"/>
        <v>0</v>
      </c>
      <c r="EL18" s="75">
        <f t="shared" si="24"/>
        <v>0</v>
      </c>
      <c r="EM18" s="75">
        <f t="shared" si="25"/>
        <v>0</v>
      </c>
      <c r="EN18" s="75">
        <f t="shared" si="26"/>
        <v>0</v>
      </c>
      <c r="EO18" s="76">
        <f t="shared" si="27"/>
        <v>0</v>
      </c>
      <c r="EP18" s="71">
        <f t="shared" si="28"/>
        <v>0</v>
      </c>
      <c r="EQ18" s="71">
        <f t="shared" si="29"/>
        <v>0</v>
      </c>
      <c r="ER18" s="71">
        <f t="shared" si="30"/>
        <v>0</v>
      </c>
      <c r="ES18" s="71">
        <f t="shared" si="31"/>
        <v>0</v>
      </c>
      <c r="ET18" s="71">
        <f t="shared" si="4"/>
        <v>0</v>
      </c>
      <c r="EU18" s="71">
        <f t="shared" si="5"/>
        <v>0</v>
      </c>
      <c r="EV18" s="71">
        <f t="shared" si="6"/>
        <v>0</v>
      </c>
      <c r="EW18" s="15" t="e">
        <f t="shared" si="7"/>
        <v>#DIV/0!</v>
      </c>
      <c r="EX18" s="15" t="e">
        <f t="shared" si="8"/>
        <v>#DIV/0!</v>
      </c>
    </row>
    <row r="19" spans="1:154" ht="18" customHeight="1" thickBot="1" x14ac:dyDescent="0.3">
      <c r="A19" s="260"/>
      <c r="B19" s="261"/>
      <c r="C19" s="150">
        <v>0</v>
      </c>
      <c r="D19" s="37">
        <v>0</v>
      </c>
      <c r="E19" s="130"/>
      <c r="F19" s="131"/>
      <c r="G19" s="131"/>
      <c r="H19" s="131"/>
      <c r="I19" s="131"/>
      <c r="J19" s="131"/>
      <c r="K19" s="132"/>
      <c r="L19" s="38">
        <f t="shared" si="0"/>
        <v>0</v>
      </c>
      <c r="M19" s="37">
        <v>0</v>
      </c>
      <c r="N19" s="130"/>
      <c r="O19" s="131"/>
      <c r="P19" s="131"/>
      <c r="Q19" s="131"/>
      <c r="R19" s="131"/>
      <c r="S19" s="131"/>
      <c r="T19" s="132"/>
      <c r="U19" s="38">
        <f t="shared" si="1"/>
        <v>0</v>
      </c>
      <c r="V19" s="37">
        <v>0</v>
      </c>
      <c r="W19" s="46"/>
      <c r="X19" s="46"/>
      <c r="Y19" s="46"/>
      <c r="Z19" s="46"/>
      <c r="AA19" s="46"/>
      <c r="AB19" s="46"/>
      <c r="AC19" s="46"/>
      <c r="AD19" s="38">
        <f t="shared" si="2"/>
        <v>0</v>
      </c>
      <c r="AE19" s="37">
        <v>0</v>
      </c>
      <c r="AF19" s="46"/>
      <c r="AG19" s="46"/>
      <c r="AH19" s="46"/>
      <c r="AI19" s="46"/>
      <c r="AJ19" s="46"/>
      <c r="AK19" s="46"/>
      <c r="AL19" s="46"/>
      <c r="AM19" s="38">
        <f t="shared" si="9"/>
        <v>0</v>
      </c>
      <c r="AN19" s="37">
        <v>0</v>
      </c>
      <c r="AO19" s="46"/>
      <c r="AP19" s="46"/>
      <c r="AQ19" s="46"/>
      <c r="AR19" s="46"/>
      <c r="AS19" s="46"/>
      <c r="AT19" s="46"/>
      <c r="AU19" s="46"/>
      <c r="AV19" s="38">
        <f t="shared" si="10"/>
        <v>0</v>
      </c>
      <c r="AW19" s="37">
        <v>0</v>
      </c>
      <c r="AX19" s="46"/>
      <c r="AY19" s="46"/>
      <c r="AZ19" s="46"/>
      <c r="BA19" s="46"/>
      <c r="BB19" s="46"/>
      <c r="BC19" s="46"/>
      <c r="BD19" s="46"/>
      <c r="BE19" s="38">
        <f t="shared" si="11"/>
        <v>0</v>
      </c>
      <c r="BF19" s="37">
        <v>0</v>
      </c>
      <c r="BG19" s="46"/>
      <c r="BH19" s="46"/>
      <c r="BI19" s="46"/>
      <c r="BJ19" s="46"/>
      <c r="BK19" s="46"/>
      <c r="BL19" s="46"/>
      <c r="BM19" s="46"/>
      <c r="BN19" s="38">
        <f t="shared" si="12"/>
        <v>0</v>
      </c>
      <c r="BO19" s="37">
        <v>0</v>
      </c>
      <c r="BP19" s="46"/>
      <c r="BQ19" s="46"/>
      <c r="BR19" s="46"/>
      <c r="BS19" s="46"/>
      <c r="BT19" s="46"/>
      <c r="BU19" s="46"/>
      <c r="BV19" s="46"/>
      <c r="BW19" s="38">
        <f t="shared" si="13"/>
        <v>0</v>
      </c>
      <c r="BX19" s="37">
        <v>0</v>
      </c>
      <c r="BY19" s="46"/>
      <c r="BZ19" s="46"/>
      <c r="CA19" s="46"/>
      <c r="CB19" s="46"/>
      <c r="CC19" s="46"/>
      <c r="CD19" s="46"/>
      <c r="CE19" s="46"/>
      <c r="CF19" s="38">
        <f t="shared" si="14"/>
        <v>0</v>
      </c>
      <c r="CG19" s="37">
        <v>0</v>
      </c>
      <c r="CH19" s="46"/>
      <c r="CI19" s="46"/>
      <c r="CJ19" s="46"/>
      <c r="CK19" s="46"/>
      <c r="CL19" s="46"/>
      <c r="CM19" s="46"/>
      <c r="CN19" s="46"/>
      <c r="CO19" s="38">
        <f t="shared" si="15"/>
        <v>0</v>
      </c>
      <c r="CP19" s="37">
        <v>0</v>
      </c>
      <c r="CQ19" s="46"/>
      <c r="CR19" s="46"/>
      <c r="CS19" s="46"/>
      <c r="CT19" s="46"/>
      <c r="CU19" s="46"/>
      <c r="CV19" s="46"/>
      <c r="CW19" s="46"/>
      <c r="CX19" s="38">
        <f t="shared" si="16"/>
        <v>0</v>
      </c>
      <c r="CY19" s="37">
        <v>0</v>
      </c>
      <c r="CZ19" s="46"/>
      <c r="DA19" s="46"/>
      <c r="DB19" s="46"/>
      <c r="DC19" s="46"/>
      <c r="DD19" s="46"/>
      <c r="DE19" s="46"/>
      <c r="DF19" s="46"/>
      <c r="DG19" s="38">
        <f t="shared" si="17"/>
        <v>0</v>
      </c>
      <c r="DH19" s="37">
        <v>0</v>
      </c>
      <c r="DI19" s="46"/>
      <c r="DJ19" s="46"/>
      <c r="DK19" s="46"/>
      <c r="DL19" s="46"/>
      <c r="DM19" s="46"/>
      <c r="DN19" s="46"/>
      <c r="DO19" s="46"/>
      <c r="DP19" s="38">
        <f t="shared" si="18"/>
        <v>0</v>
      </c>
      <c r="DQ19" s="37">
        <v>0</v>
      </c>
      <c r="DR19" s="46"/>
      <c r="DS19" s="46"/>
      <c r="DT19" s="46"/>
      <c r="DU19" s="46"/>
      <c r="DV19" s="46"/>
      <c r="DW19" s="46"/>
      <c r="DX19" s="46"/>
      <c r="DY19" s="38">
        <f t="shared" si="19"/>
        <v>0</v>
      </c>
      <c r="DZ19" s="110">
        <v>0</v>
      </c>
      <c r="EA19" s="116"/>
      <c r="EB19" s="46"/>
      <c r="EC19" s="46"/>
      <c r="ED19" s="46"/>
      <c r="EE19" s="46"/>
      <c r="EF19" s="46"/>
      <c r="EG19" s="117"/>
      <c r="EH19" s="114">
        <f t="shared" si="20"/>
        <v>0</v>
      </c>
      <c r="EI19" s="74">
        <f t="shared" si="21"/>
        <v>0</v>
      </c>
      <c r="EJ19" s="75">
        <f t="shared" si="22"/>
        <v>0</v>
      </c>
      <c r="EK19" s="75">
        <f t="shared" si="23"/>
        <v>0</v>
      </c>
      <c r="EL19" s="75">
        <f t="shared" si="24"/>
        <v>0</v>
      </c>
      <c r="EM19" s="75">
        <f t="shared" si="25"/>
        <v>0</v>
      </c>
      <c r="EN19" s="75">
        <f t="shared" si="26"/>
        <v>0</v>
      </c>
      <c r="EO19" s="76">
        <f t="shared" si="27"/>
        <v>0</v>
      </c>
      <c r="EP19" s="71">
        <f t="shared" si="28"/>
        <v>0</v>
      </c>
      <c r="EQ19" s="71">
        <f t="shared" si="29"/>
        <v>0</v>
      </c>
      <c r="ER19" s="71">
        <f t="shared" si="30"/>
        <v>0</v>
      </c>
      <c r="ES19" s="71">
        <f t="shared" si="31"/>
        <v>0</v>
      </c>
      <c r="ET19" s="71">
        <f t="shared" si="4"/>
        <v>0</v>
      </c>
      <c r="EU19" s="71">
        <f t="shared" si="5"/>
        <v>0</v>
      </c>
      <c r="EV19" s="71">
        <f t="shared" si="6"/>
        <v>0</v>
      </c>
      <c r="EW19" s="15" t="e">
        <f t="shared" si="7"/>
        <v>#DIV/0!</v>
      </c>
      <c r="EX19" s="15" t="e">
        <f t="shared" si="8"/>
        <v>#DIV/0!</v>
      </c>
    </row>
    <row r="20" spans="1:154" ht="18" customHeight="1" thickBot="1" x14ac:dyDescent="0.3">
      <c r="A20" s="260" t="s">
        <v>67</v>
      </c>
      <c r="B20" s="261"/>
      <c r="C20" s="150">
        <f t="shared" si="32"/>
        <v>0</v>
      </c>
      <c r="D20" s="37">
        <v>0</v>
      </c>
      <c r="E20" s="130"/>
      <c r="F20" s="131"/>
      <c r="G20" s="131"/>
      <c r="H20" s="131"/>
      <c r="I20" s="131"/>
      <c r="J20" s="131"/>
      <c r="K20" s="132"/>
      <c r="L20" s="38">
        <f t="shared" si="0"/>
        <v>0</v>
      </c>
      <c r="M20" s="37">
        <v>0</v>
      </c>
      <c r="N20" s="130"/>
      <c r="O20" s="131"/>
      <c r="P20" s="131"/>
      <c r="Q20" s="131"/>
      <c r="R20" s="131"/>
      <c r="S20" s="131"/>
      <c r="T20" s="132"/>
      <c r="U20" s="38">
        <f t="shared" si="1"/>
        <v>0</v>
      </c>
      <c r="V20" s="37">
        <v>0</v>
      </c>
      <c r="W20" s="46"/>
      <c r="X20" s="46"/>
      <c r="Y20" s="46"/>
      <c r="Z20" s="46"/>
      <c r="AA20" s="46"/>
      <c r="AB20" s="46"/>
      <c r="AC20" s="46"/>
      <c r="AD20" s="38">
        <f t="shared" si="2"/>
        <v>0</v>
      </c>
      <c r="AE20" s="37">
        <v>0</v>
      </c>
      <c r="AF20" s="46"/>
      <c r="AG20" s="46"/>
      <c r="AH20" s="46"/>
      <c r="AI20" s="46"/>
      <c r="AJ20" s="46"/>
      <c r="AK20" s="46"/>
      <c r="AL20" s="46"/>
      <c r="AM20" s="38">
        <f t="shared" si="9"/>
        <v>0</v>
      </c>
      <c r="AN20" s="37">
        <v>0</v>
      </c>
      <c r="AO20" s="46"/>
      <c r="AP20" s="46"/>
      <c r="AQ20" s="46"/>
      <c r="AR20" s="46"/>
      <c r="AS20" s="46"/>
      <c r="AT20" s="46"/>
      <c r="AU20" s="46"/>
      <c r="AV20" s="38">
        <f t="shared" si="10"/>
        <v>0</v>
      </c>
      <c r="AW20" s="37">
        <v>0</v>
      </c>
      <c r="AX20" s="46"/>
      <c r="AY20" s="46"/>
      <c r="AZ20" s="46"/>
      <c r="BA20" s="46"/>
      <c r="BB20" s="46"/>
      <c r="BC20" s="46"/>
      <c r="BD20" s="46"/>
      <c r="BE20" s="38">
        <f t="shared" si="11"/>
        <v>0</v>
      </c>
      <c r="BF20" s="37">
        <v>0</v>
      </c>
      <c r="BG20" s="46"/>
      <c r="BH20" s="46"/>
      <c r="BI20" s="46"/>
      <c r="BJ20" s="46"/>
      <c r="BK20" s="46"/>
      <c r="BL20" s="46"/>
      <c r="BM20" s="46"/>
      <c r="BN20" s="38">
        <f t="shared" si="12"/>
        <v>0</v>
      </c>
      <c r="BO20" s="37">
        <v>0</v>
      </c>
      <c r="BP20" s="46"/>
      <c r="BQ20" s="46"/>
      <c r="BR20" s="46"/>
      <c r="BS20" s="46"/>
      <c r="BT20" s="46"/>
      <c r="BU20" s="46"/>
      <c r="BV20" s="46"/>
      <c r="BW20" s="38">
        <f t="shared" si="13"/>
        <v>0</v>
      </c>
      <c r="BX20" s="37">
        <v>0</v>
      </c>
      <c r="BY20" s="46"/>
      <c r="BZ20" s="46"/>
      <c r="CA20" s="46"/>
      <c r="CB20" s="46"/>
      <c r="CC20" s="46"/>
      <c r="CD20" s="46"/>
      <c r="CE20" s="46"/>
      <c r="CF20" s="38">
        <f t="shared" si="14"/>
        <v>0</v>
      </c>
      <c r="CG20" s="37">
        <v>0</v>
      </c>
      <c r="CH20" s="46"/>
      <c r="CI20" s="46"/>
      <c r="CJ20" s="46"/>
      <c r="CK20" s="46"/>
      <c r="CL20" s="46"/>
      <c r="CM20" s="46"/>
      <c r="CN20" s="46"/>
      <c r="CO20" s="38">
        <f t="shared" si="15"/>
        <v>0</v>
      </c>
      <c r="CP20" s="37">
        <v>0</v>
      </c>
      <c r="CQ20" s="46"/>
      <c r="CR20" s="46"/>
      <c r="CS20" s="46"/>
      <c r="CT20" s="46"/>
      <c r="CU20" s="46"/>
      <c r="CV20" s="46"/>
      <c r="CW20" s="46"/>
      <c r="CX20" s="38">
        <f t="shared" si="16"/>
        <v>0</v>
      </c>
      <c r="CY20" s="37">
        <v>0</v>
      </c>
      <c r="CZ20" s="46"/>
      <c r="DA20" s="46"/>
      <c r="DB20" s="46"/>
      <c r="DC20" s="46"/>
      <c r="DD20" s="46"/>
      <c r="DE20" s="46"/>
      <c r="DF20" s="46"/>
      <c r="DG20" s="38">
        <f t="shared" si="17"/>
        <v>0</v>
      </c>
      <c r="DH20" s="37">
        <v>0</v>
      </c>
      <c r="DI20" s="46"/>
      <c r="DJ20" s="46"/>
      <c r="DK20" s="46"/>
      <c r="DL20" s="46"/>
      <c r="DM20" s="46"/>
      <c r="DN20" s="46"/>
      <c r="DO20" s="46"/>
      <c r="DP20" s="38">
        <f t="shared" si="18"/>
        <v>0</v>
      </c>
      <c r="DQ20" s="37">
        <v>0</v>
      </c>
      <c r="DR20" s="46"/>
      <c r="DS20" s="46"/>
      <c r="DT20" s="46"/>
      <c r="DU20" s="46"/>
      <c r="DV20" s="46"/>
      <c r="DW20" s="46"/>
      <c r="DX20" s="46"/>
      <c r="DY20" s="38">
        <f t="shared" si="19"/>
        <v>0</v>
      </c>
      <c r="DZ20" s="110">
        <v>0</v>
      </c>
      <c r="EA20" s="116"/>
      <c r="EB20" s="46"/>
      <c r="EC20" s="46"/>
      <c r="ED20" s="46"/>
      <c r="EE20" s="46"/>
      <c r="EF20" s="46"/>
      <c r="EG20" s="117"/>
      <c r="EH20" s="114">
        <f t="shared" si="20"/>
        <v>0</v>
      </c>
      <c r="EI20" s="74">
        <f t="shared" si="21"/>
        <v>0</v>
      </c>
      <c r="EJ20" s="75">
        <f t="shared" si="22"/>
        <v>0</v>
      </c>
      <c r="EK20" s="75">
        <f t="shared" si="23"/>
        <v>0</v>
      </c>
      <c r="EL20" s="75">
        <f t="shared" si="24"/>
        <v>0</v>
      </c>
      <c r="EM20" s="75">
        <f t="shared" si="25"/>
        <v>0</v>
      </c>
      <c r="EN20" s="75">
        <f t="shared" si="26"/>
        <v>0</v>
      </c>
      <c r="EO20" s="76">
        <f t="shared" si="27"/>
        <v>0</v>
      </c>
      <c r="EP20" s="71">
        <f t="shared" si="28"/>
        <v>0</v>
      </c>
      <c r="EQ20" s="71">
        <f t="shared" si="29"/>
        <v>0</v>
      </c>
      <c r="ER20" s="71">
        <f t="shared" si="30"/>
        <v>0</v>
      </c>
      <c r="ES20" s="71">
        <f t="shared" si="31"/>
        <v>0</v>
      </c>
      <c r="ET20" s="71">
        <f t="shared" si="4"/>
        <v>0</v>
      </c>
      <c r="EU20" s="71">
        <f t="shared" si="5"/>
        <v>0</v>
      </c>
      <c r="EV20" s="71">
        <f t="shared" si="6"/>
        <v>0</v>
      </c>
      <c r="EW20" s="15" t="e">
        <f t="shared" si="7"/>
        <v>#DIV/0!</v>
      </c>
      <c r="EX20" s="15" t="e">
        <f t="shared" si="8"/>
        <v>#DIV/0!</v>
      </c>
    </row>
    <row r="21" spans="1:154" ht="18" customHeight="1" thickBot="1" x14ac:dyDescent="0.3">
      <c r="A21" s="260"/>
      <c r="B21" s="261"/>
      <c r="C21" s="150">
        <v>0</v>
      </c>
      <c r="D21" s="37">
        <v>0</v>
      </c>
      <c r="E21" s="130"/>
      <c r="F21" s="131"/>
      <c r="G21" s="131"/>
      <c r="H21" s="131"/>
      <c r="I21" s="131"/>
      <c r="J21" s="131"/>
      <c r="K21" s="132"/>
      <c r="L21" s="38">
        <f t="shared" si="0"/>
        <v>0</v>
      </c>
      <c r="M21" s="37">
        <v>0</v>
      </c>
      <c r="N21" s="130"/>
      <c r="O21" s="131"/>
      <c r="P21" s="131"/>
      <c r="Q21" s="131"/>
      <c r="R21" s="131"/>
      <c r="S21" s="131"/>
      <c r="T21" s="132"/>
      <c r="U21" s="38">
        <f t="shared" si="1"/>
        <v>0</v>
      </c>
      <c r="V21" s="37">
        <v>0</v>
      </c>
      <c r="W21" s="46"/>
      <c r="X21" s="46"/>
      <c r="Y21" s="46"/>
      <c r="Z21" s="46"/>
      <c r="AA21" s="46"/>
      <c r="AB21" s="46"/>
      <c r="AC21" s="46"/>
      <c r="AD21" s="38">
        <f t="shared" si="2"/>
        <v>0</v>
      </c>
      <c r="AE21" s="37">
        <v>0</v>
      </c>
      <c r="AF21" s="46"/>
      <c r="AG21" s="46"/>
      <c r="AH21" s="46"/>
      <c r="AI21" s="46"/>
      <c r="AJ21" s="46"/>
      <c r="AK21" s="46"/>
      <c r="AL21" s="46"/>
      <c r="AM21" s="38">
        <f t="shared" si="9"/>
        <v>0</v>
      </c>
      <c r="AN21" s="37">
        <v>0</v>
      </c>
      <c r="AO21" s="46"/>
      <c r="AP21" s="46"/>
      <c r="AQ21" s="46"/>
      <c r="AR21" s="46"/>
      <c r="AS21" s="46"/>
      <c r="AT21" s="46"/>
      <c r="AU21" s="46"/>
      <c r="AV21" s="38">
        <f t="shared" si="10"/>
        <v>0</v>
      </c>
      <c r="AW21" s="37">
        <v>0</v>
      </c>
      <c r="AX21" s="46"/>
      <c r="AY21" s="46"/>
      <c r="AZ21" s="46"/>
      <c r="BA21" s="46"/>
      <c r="BB21" s="46"/>
      <c r="BC21" s="46"/>
      <c r="BD21" s="46"/>
      <c r="BE21" s="38">
        <f t="shared" si="11"/>
        <v>0</v>
      </c>
      <c r="BF21" s="37">
        <v>0</v>
      </c>
      <c r="BG21" s="46"/>
      <c r="BH21" s="46"/>
      <c r="BI21" s="46"/>
      <c r="BJ21" s="46"/>
      <c r="BK21" s="46"/>
      <c r="BL21" s="46"/>
      <c r="BM21" s="46"/>
      <c r="BN21" s="38">
        <f t="shared" si="12"/>
        <v>0</v>
      </c>
      <c r="BO21" s="37">
        <v>0</v>
      </c>
      <c r="BP21" s="46"/>
      <c r="BQ21" s="46"/>
      <c r="BR21" s="46"/>
      <c r="BS21" s="46"/>
      <c r="BT21" s="46"/>
      <c r="BU21" s="46"/>
      <c r="BV21" s="46"/>
      <c r="BW21" s="38">
        <f t="shared" si="13"/>
        <v>0</v>
      </c>
      <c r="BX21" s="37">
        <v>0</v>
      </c>
      <c r="BY21" s="46"/>
      <c r="BZ21" s="46"/>
      <c r="CA21" s="46"/>
      <c r="CB21" s="46"/>
      <c r="CC21" s="46"/>
      <c r="CD21" s="46"/>
      <c r="CE21" s="46"/>
      <c r="CF21" s="38">
        <f t="shared" si="14"/>
        <v>0</v>
      </c>
      <c r="CG21" s="37">
        <v>0</v>
      </c>
      <c r="CH21" s="46"/>
      <c r="CI21" s="46"/>
      <c r="CJ21" s="46"/>
      <c r="CK21" s="46"/>
      <c r="CL21" s="46"/>
      <c r="CM21" s="46"/>
      <c r="CN21" s="46"/>
      <c r="CO21" s="38">
        <f t="shared" si="15"/>
        <v>0</v>
      </c>
      <c r="CP21" s="37">
        <v>0</v>
      </c>
      <c r="CQ21" s="46"/>
      <c r="CR21" s="46"/>
      <c r="CS21" s="46"/>
      <c r="CT21" s="46"/>
      <c r="CU21" s="46"/>
      <c r="CV21" s="46"/>
      <c r="CW21" s="46"/>
      <c r="CX21" s="38">
        <f t="shared" si="16"/>
        <v>0</v>
      </c>
      <c r="CY21" s="37">
        <v>0</v>
      </c>
      <c r="CZ21" s="46"/>
      <c r="DA21" s="46"/>
      <c r="DB21" s="46"/>
      <c r="DC21" s="46"/>
      <c r="DD21" s="46"/>
      <c r="DE21" s="46"/>
      <c r="DF21" s="46"/>
      <c r="DG21" s="38">
        <f t="shared" si="17"/>
        <v>0</v>
      </c>
      <c r="DH21" s="37">
        <v>0</v>
      </c>
      <c r="DI21" s="46"/>
      <c r="DJ21" s="46"/>
      <c r="DK21" s="46"/>
      <c r="DL21" s="46"/>
      <c r="DM21" s="46"/>
      <c r="DN21" s="46"/>
      <c r="DO21" s="46"/>
      <c r="DP21" s="38">
        <f t="shared" si="18"/>
        <v>0</v>
      </c>
      <c r="DQ21" s="37">
        <v>0</v>
      </c>
      <c r="DR21" s="46"/>
      <c r="DS21" s="46"/>
      <c r="DT21" s="46"/>
      <c r="DU21" s="46"/>
      <c r="DV21" s="46"/>
      <c r="DW21" s="46"/>
      <c r="DX21" s="46"/>
      <c r="DY21" s="38">
        <f t="shared" si="19"/>
        <v>0</v>
      </c>
      <c r="DZ21" s="110">
        <v>0</v>
      </c>
      <c r="EA21" s="116"/>
      <c r="EB21" s="46"/>
      <c r="EC21" s="46"/>
      <c r="ED21" s="46"/>
      <c r="EE21" s="46"/>
      <c r="EF21" s="46"/>
      <c r="EG21" s="117"/>
      <c r="EH21" s="114">
        <f t="shared" si="20"/>
        <v>0</v>
      </c>
      <c r="EI21" s="74">
        <f t="shared" si="21"/>
        <v>0</v>
      </c>
      <c r="EJ21" s="75">
        <f t="shared" si="22"/>
        <v>0</v>
      </c>
      <c r="EK21" s="75">
        <f t="shared" si="23"/>
        <v>0</v>
      </c>
      <c r="EL21" s="75">
        <f t="shared" si="24"/>
        <v>0</v>
      </c>
      <c r="EM21" s="75">
        <f t="shared" si="25"/>
        <v>0</v>
      </c>
      <c r="EN21" s="75">
        <f t="shared" si="26"/>
        <v>0</v>
      </c>
      <c r="EO21" s="76">
        <f t="shared" si="27"/>
        <v>0</v>
      </c>
      <c r="EP21" s="71">
        <f t="shared" si="28"/>
        <v>0</v>
      </c>
      <c r="EQ21" s="71">
        <f t="shared" si="29"/>
        <v>0</v>
      </c>
      <c r="ER21" s="71">
        <f t="shared" si="30"/>
        <v>0</v>
      </c>
      <c r="ES21" s="71">
        <f t="shared" si="31"/>
        <v>0</v>
      </c>
      <c r="ET21" s="71">
        <f t="shared" si="4"/>
        <v>0</v>
      </c>
      <c r="EU21" s="71">
        <f t="shared" si="5"/>
        <v>0</v>
      </c>
      <c r="EV21" s="71">
        <f t="shared" si="6"/>
        <v>0</v>
      </c>
      <c r="EW21" s="15" t="e">
        <f t="shared" si="7"/>
        <v>#DIV/0!</v>
      </c>
      <c r="EX21" s="15" t="e">
        <f t="shared" si="8"/>
        <v>#DIV/0!</v>
      </c>
    </row>
    <row r="22" spans="1:154" ht="18" customHeight="1" thickBot="1" x14ac:dyDescent="0.3">
      <c r="A22" s="260" t="s">
        <v>68</v>
      </c>
      <c r="B22" s="261"/>
      <c r="C22" s="150">
        <f t="shared" si="32"/>
        <v>0</v>
      </c>
      <c r="D22" s="37">
        <v>0</v>
      </c>
      <c r="E22" s="130"/>
      <c r="F22" s="131"/>
      <c r="G22" s="131"/>
      <c r="H22" s="131"/>
      <c r="I22" s="131"/>
      <c r="J22" s="131"/>
      <c r="K22" s="132"/>
      <c r="L22" s="38">
        <f t="shared" si="0"/>
        <v>0</v>
      </c>
      <c r="M22" s="37">
        <v>0</v>
      </c>
      <c r="N22" s="130"/>
      <c r="O22" s="131"/>
      <c r="P22" s="131"/>
      <c r="Q22" s="131"/>
      <c r="R22" s="131"/>
      <c r="S22" s="131"/>
      <c r="T22" s="132"/>
      <c r="U22" s="38">
        <f t="shared" si="1"/>
        <v>0</v>
      </c>
      <c r="V22" s="37">
        <v>0</v>
      </c>
      <c r="W22" s="46"/>
      <c r="X22" s="46"/>
      <c r="Y22" s="46"/>
      <c r="Z22" s="46"/>
      <c r="AA22" s="46"/>
      <c r="AB22" s="46"/>
      <c r="AC22" s="46"/>
      <c r="AD22" s="38">
        <f t="shared" si="2"/>
        <v>0</v>
      </c>
      <c r="AE22" s="37">
        <v>0</v>
      </c>
      <c r="AF22" s="46"/>
      <c r="AG22" s="46"/>
      <c r="AH22" s="46"/>
      <c r="AI22" s="46"/>
      <c r="AJ22" s="46"/>
      <c r="AK22" s="46"/>
      <c r="AL22" s="46"/>
      <c r="AM22" s="38">
        <f t="shared" si="9"/>
        <v>0</v>
      </c>
      <c r="AN22" s="37">
        <v>0</v>
      </c>
      <c r="AO22" s="46"/>
      <c r="AP22" s="46"/>
      <c r="AQ22" s="46"/>
      <c r="AR22" s="46"/>
      <c r="AS22" s="46"/>
      <c r="AT22" s="46"/>
      <c r="AU22" s="46"/>
      <c r="AV22" s="38">
        <f t="shared" si="10"/>
        <v>0</v>
      </c>
      <c r="AW22" s="37">
        <v>0</v>
      </c>
      <c r="AX22" s="46"/>
      <c r="AY22" s="46"/>
      <c r="AZ22" s="46"/>
      <c r="BA22" s="46"/>
      <c r="BB22" s="46"/>
      <c r="BC22" s="46"/>
      <c r="BD22" s="46"/>
      <c r="BE22" s="38">
        <f t="shared" si="11"/>
        <v>0</v>
      </c>
      <c r="BF22" s="37">
        <v>0</v>
      </c>
      <c r="BG22" s="46"/>
      <c r="BH22" s="46"/>
      <c r="BI22" s="46"/>
      <c r="BJ22" s="46"/>
      <c r="BK22" s="46"/>
      <c r="BL22" s="46"/>
      <c r="BM22" s="46"/>
      <c r="BN22" s="38">
        <f t="shared" si="12"/>
        <v>0</v>
      </c>
      <c r="BO22" s="37">
        <v>0</v>
      </c>
      <c r="BP22" s="46"/>
      <c r="BQ22" s="46"/>
      <c r="BR22" s="46"/>
      <c r="BS22" s="46"/>
      <c r="BT22" s="46"/>
      <c r="BU22" s="46"/>
      <c r="BV22" s="46"/>
      <c r="BW22" s="38">
        <f t="shared" si="13"/>
        <v>0</v>
      </c>
      <c r="BX22" s="37">
        <v>0</v>
      </c>
      <c r="BY22" s="46"/>
      <c r="BZ22" s="46"/>
      <c r="CA22" s="46"/>
      <c r="CB22" s="46"/>
      <c r="CC22" s="46"/>
      <c r="CD22" s="46"/>
      <c r="CE22" s="46"/>
      <c r="CF22" s="38">
        <f t="shared" si="14"/>
        <v>0</v>
      </c>
      <c r="CG22" s="37">
        <v>0</v>
      </c>
      <c r="CH22" s="46"/>
      <c r="CI22" s="46"/>
      <c r="CJ22" s="46"/>
      <c r="CK22" s="46"/>
      <c r="CL22" s="46"/>
      <c r="CM22" s="46"/>
      <c r="CN22" s="46"/>
      <c r="CO22" s="38">
        <f t="shared" si="15"/>
        <v>0</v>
      </c>
      <c r="CP22" s="37">
        <v>0</v>
      </c>
      <c r="CQ22" s="46"/>
      <c r="CR22" s="46"/>
      <c r="CS22" s="46"/>
      <c r="CT22" s="46"/>
      <c r="CU22" s="46"/>
      <c r="CV22" s="46"/>
      <c r="CW22" s="46"/>
      <c r="CX22" s="38">
        <f t="shared" si="16"/>
        <v>0</v>
      </c>
      <c r="CY22" s="37">
        <v>0</v>
      </c>
      <c r="CZ22" s="46"/>
      <c r="DA22" s="46"/>
      <c r="DB22" s="46"/>
      <c r="DC22" s="46"/>
      <c r="DD22" s="46"/>
      <c r="DE22" s="46"/>
      <c r="DF22" s="46"/>
      <c r="DG22" s="38">
        <f t="shared" si="17"/>
        <v>0</v>
      </c>
      <c r="DH22" s="37">
        <v>0</v>
      </c>
      <c r="DI22" s="46"/>
      <c r="DJ22" s="46"/>
      <c r="DK22" s="46"/>
      <c r="DL22" s="46"/>
      <c r="DM22" s="46"/>
      <c r="DN22" s="46"/>
      <c r="DO22" s="46"/>
      <c r="DP22" s="38">
        <f t="shared" si="18"/>
        <v>0</v>
      </c>
      <c r="DQ22" s="37">
        <v>0</v>
      </c>
      <c r="DR22" s="46"/>
      <c r="DS22" s="46"/>
      <c r="DT22" s="46"/>
      <c r="DU22" s="46"/>
      <c r="DV22" s="46"/>
      <c r="DW22" s="46"/>
      <c r="DX22" s="46"/>
      <c r="DY22" s="38">
        <f t="shared" si="19"/>
        <v>0</v>
      </c>
      <c r="DZ22" s="110">
        <v>0</v>
      </c>
      <c r="EA22" s="116"/>
      <c r="EB22" s="46"/>
      <c r="EC22" s="46"/>
      <c r="ED22" s="46"/>
      <c r="EE22" s="46"/>
      <c r="EF22" s="46"/>
      <c r="EG22" s="117"/>
      <c r="EH22" s="114">
        <f t="shared" si="20"/>
        <v>0</v>
      </c>
      <c r="EI22" s="74">
        <f t="shared" si="21"/>
        <v>0</v>
      </c>
      <c r="EJ22" s="75">
        <f t="shared" si="22"/>
        <v>0</v>
      </c>
      <c r="EK22" s="75">
        <f t="shared" si="23"/>
        <v>0</v>
      </c>
      <c r="EL22" s="75">
        <f t="shared" si="24"/>
        <v>0</v>
      </c>
      <c r="EM22" s="75">
        <f t="shared" si="25"/>
        <v>0</v>
      </c>
      <c r="EN22" s="75">
        <f t="shared" si="26"/>
        <v>0</v>
      </c>
      <c r="EO22" s="76">
        <f t="shared" si="27"/>
        <v>0</v>
      </c>
      <c r="EP22" s="71">
        <f t="shared" si="28"/>
        <v>0</v>
      </c>
      <c r="EQ22" s="71">
        <f t="shared" si="29"/>
        <v>0</v>
      </c>
      <c r="ER22" s="71">
        <f t="shared" si="30"/>
        <v>0</v>
      </c>
      <c r="ES22" s="71">
        <f t="shared" si="31"/>
        <v>0</v>
      </c>
      <c r="ET22" s="71">
        <f t="shared" si="4"/>
        <v>0</v>
      </c>
      <c r="EU22" s="71">
        <f t="shared" si="5"/>
        <v>0</v>
      </c>
      <c r="EV22" s="71">
        <f t="shared" si="6"/>
        <v>0</v>
      </c>
      <c r="EW22" s="15" t="e">
        <f t="shared" si="7"/>
        <v>#DIV/0!</v>
      </c>
      <c r="EX22" s="15" t="e">
        <f t="shared" si="8"/>
        <v>#DIV/0!</v>
      </c>
    </row>
    <row r="23" spans="1:154" ht="18" customHeight="1" thickBot="1" x14ac:dyDescent="0.3">
      <c r="A23" s="260"/>
      <c r="B23" s="261"/>
      <c r="C23" s="150">
        <v>0</v>
      </c>
      <c r="D23" s="37">
        <v>0</v>
      </c>
      <c r="E23" s="130"/>
      <c r="F23" s="131"/>
      <c r="G23" s="131"/>
      <c r="H23" s="131"/>
      <c r="I23" s="131"/>
      <c r="J23" s="131"/>
      <c r="K23" s="132"/>
      <c r="L23" s="38">
        <f t="shared" si="0"/>
        <v>0</v>
      </c>
      <c r="M23" s="37">
        <v>0</v>
      </c>
      <c r="N23" s="130"/>
      <c r="O23" s="131"/>
      <c r="P23" s="131"/>
      <c r="Q23" s="131"/>
      <c r="R23" s="131"/>
      <c r="S23" s="131"/>
      <c r="T23" s="132"/>
      <c r="U23" s="38">
        <f t="shared" si="1"/>
        <v>0</v>
      </c>
      <c r="V23" s="37">
        <v>0</v>
      </c>
      <c r="W23" s="46"/>
      <c r="X23" s="46"/>
      <c r="Y23" s="46"/>
      <c r="Z23" s="46"/>
      <c r="AA23" s="46"/>
      <c r="AB23" s="46"/>
      <c r="AC23" s="46"/>
      <c r="AD23" s="38">
        <f t="shared" si="2"/>
        <v>0</v>
      </c>
      <c r="AE23" s="37">
        <v>0</v>
      </c>
      <c r="AF23" s="46"/>
      <c r="AG23" s="46"/>
      <c r="AH23" s="46"/>
      <c r="AI23" s="46"/>
      <c r="AJ23" s="46"/>
      <c r="AK23" s="46"/>
      <c r="AL23" s="46"/>
      <c r="AM23" s="38">
        <f t="shared" si="9"/>
        <v>0</v>
      </c>
      <c r="AN23" s="37">
        <v>0</v>
      </c>
      <c r="AO23" s="46"/>
      <c r="AP23" s="46"/>
      <c r="AQ23" s="46"/>
      <c r="AR23" s="46"/>
      <c r="AS23" s="46"/>
      <c r="AT23" s="46"/>
      <c r="AU23" s="46"/>
      <c r="AV23" s="38">
        <f t="shared" si="10"/>
        <v>0</v>
      </c>
      <c r="AW23" s="37">
        <v>0</v>
      </c>
      <c r="AX23" s="46"/>
      <c r="AY23" s="46"/>
      <c r="AZ23" s="46"/>
      <c r="BA23" s="46"/>
      <c r="BB23" s="46"/>
      <c r="BC23" s="46"/>
      <c r="BD23" s="46"/>
      <c r="BE23" s="38">
        <f t="shared" si="11"/>
        <v>0</v>
      </c>
      <c r="BF23" s="37">
        <v>0</v>
      </c>
      <c r="BG23" s="46"/>
      <c r="BH23" s="46"/>
      <c r="BI23" s="46"/>
      <c r="BJ23" s="46"/>
      <c r="BK23" s="46"/>
      <c r="BL23" s="46"/>
      <c r="BM23" s="46"/>
      <c r="BN23" s="38">
        <f t="shared" si="12"/>
        <v>0</v>
      </c>
      <c r="BO23" s="37">
        <v>0</v>
      </c>
      <c r="BP23" s="46"/>
      <c r="BQ23" s="46"/>
      <c r="BR23" s="46"/>
      <c r="BS23" s="46"/>
      <c r="BT23" s="46"/>
      <c r="BU23" s="46"/>
      <c r="BV23" s="46"/>
      <c r="BW23" s="38">
        <f t="shared" si="13"/>
        <v>0</v>
      </c>
      <c r="BX23" s="37">
        <v>0</v>
      </c>
      <c r="BY23" s="46"/>
      <c r="BZ23" s="46"/>
      <c r="CA23" s="46"/>
      <c r="CB23" s="46"/>
      <c r="CC23" s="46"/>
      <c r="CD23" s="46"/>
      <c r="CE23" s="46"/>
      <c r="CF23" s="38">
        <f t="shared" si="14"/>
        <v>0</v>
      </c>
      <c r="CG23" s="37">
        <v>0</v>
      </c>
      <c r="CH23" s="46"/>
      <c r="CI23" s="46"/>
      <c r="CJ23" s="46"/>
      <c r="CK23" s="46"/>
      <c r="CL23" s="46"/>
      <c r="CM23" s="46"/>
      <c r="CN23" s="46"/>
      <c r="CO23" s="38">
        <f t="shared" si="15"/>
        <v>0</v>
      </c>
      <c r="CP23" s="37">
        <v>0</v>
      </c>
      <c r="CQ23" s="46"/>
      <c r="CR23" s="46"/>
      <c r="CS23" s="46"/>
      <c r="CT23" s="46"/>
      <c r="CU23" s="46"/>
      <c r="CV23" s="46"/>
      <c r="CW23" s="46"/>
      <c r="CX23" s="38">
        <f t="shared" si="16"/>
        <v>0</v>
      </c>
      <c r="CY23" s="37">
        <v>0</v>
      </c>
      <c r="CZ23" s="46"/>
      <c r="DA23" s="46"/>
      <c r="DB23" s="46"/>
      <c r="DC23" s="46"/>
      <c r="DD23" s="46"/>
      <c r="DE23" s="46"/>
      <c r="DF23" s="46"/>
      <c r="DG23" s="38">
        <f t="shared" si="17"/>
        <v>0</v>
      </c>
      <c r="DH23" s="37">
        <v>0</v>
      </c>
      <c r="DI23" s="46"/>
      <c r="DJ23" s="46"/>
      <c r="DK23" s="46"/>
      <c r="DL23" s="46"/>
      <c r="DM23" s="46"/>
      <c r="DN23" s="46"/>
      <c r="DO23" s="46"/>
      <c r="DP23" s="38">
        <f t="shared" si="18"/>
        <v>0</v>
      </c>
      <c r="DQ23" s="37">
        <v>0</v>
      </c>
      <c r="DR23" s="46"/>
      <c r="DS23" s="46"/>
      <c r="DT23" s="46"/>
      <c r="DU23" s="46"/>
      <c r="DV23" s="46"/>
      <c r="DW23" s="46"/>
      <c r="DX23" s="46"/>
      <c r="DY23" s="38">
        <f t="shared" si="19"/>
        <v>0</v>
      </c>
      <c r="DZ23" s="110">
        <v>0</v>
      </c>
      <c r="EA23" s="116"/>
      <c r="EB23" s="46"/>
      <c r="EC23" s="46"/>
      <c r="ED23" s="46"/>
      <c r="EE23" s="46"/>
      <c r="EF23" s="46"/>
      <c r="EG23" s="117"/>
      <c r="EH23" s="114">
        <f t="shared" si="20"/>
        <v>0</v>
      </c>
      <c r="EI23" s="74">
        <f t="shared" si="21"/>
        <v>0</v>
      </c>
      <c r="EJ23" s="75">
        <f t="shared" si="22"/>
        <v>0</v>
      </c>
      <c r="EK23" s="75">
        <f t="shared" si="23"/>
        <v>0</v>
      </c>
      <c r="EL23" s="75">
        <f t="shared" si="24"/>
        <v>0</v>
      </c>
      <c r="EM23" s="75">
        <f t="shared" si="25"/>
        <v>0</v>
      </c>
      <c r="EN23" s="75">
        <f t="shared" si="26"/>
        <v>0</v>
      </c>
      <c r="EO23" s="76">
        <f t="shared" si="27"/>
        <v>0</v>
      </c>
      <c r="EP23" s="71">
        <f t="shared" si="28"/>
        <v>0</v>
      </c>
      <c r="EQ23" s="71">
        <f t="shared" si="29"/>
        <v>0</v>
      </c>
      <c r="ER23" s="71">
        <f t="shared" si="30"/>
        <v>0</v>
      </c>
      <c r="ES23" s="71">
        <f t="shared" si="31"/>
        <v>0</v>
      </c>
      <c r="ET23" s="71">
        <f t="shared" si="4"/>
        <v>0</v>
      </c>
      <c r="EU23" s="71">
        <f t="shared" si="5"/>
        <v>0</v>
      </c>
      <c r="EV23" s="71">
        <f t="shared" si="6"/>
        <v>0</v>
      </c>
      <c r="EW23" s="15" t="e">
        <f t="shared" si="7"/>
        <v>#DIV/0!</v>
      </c>
      <c r="EX23" s="15" t="e">
        <f t="shared" si="8"/>
        <v>#DIV/0!</v>
      </c>
    </row>
    <row r="24" spans="1:154" ht="18" customHeight="1" thickBot="1" x14ac:dyDescent="0.3">
      <c r="A24" s="260" t="s">
        <v>69</v>
      </c>
      <c r="B24" s="262"/>
      <c r="C24" s="150">
        <f t="shared" si="32"/>
        <v>0</v>
      </c>
      <c r="D24" s="37">
        <v>0</v>
      </c>
      <c r="E24" s="130"/>
      <c r="F24" s="131"/>
      <c r="G24" s="131"/>
      <c r="H24" s="131"/>
      <c r="I24" s="131"/>
      <c r="J24" s="131"/>
      <c r="K24" s="132"/>
      <c r="L24" s="38">
        <f t="shared" si="0"/>
        <v>0</v>
      </c>
      <c r="M24" s="37">
        <v>0</v>
      </c>
      <c r="N24" s="130"/>
      <c r="O24" s="131"/>
      <c r="P24" s="131"/>
      <c r="Q24" s="131"/>
      <c r="R24" s="131"/>
      <c r="S24" s="131"/>
      <c r="T24" s="132"/>
      <c r="U24" s="38">
        <f t="shared" si="1"/>
        <v>0</v>
      </c>
      <c r="V24" s="37">
        <v>0</v>
      </c>
      <c r="W24" s="46"/>
      <c r="X24" s="46"/>
      <c r="Y24" s="46"/>
      <c r="Z24" s="46"/>
      <c r="AA24" s="46"/>
      <c r="AB24" s="46"/>
      <c r="AC24" s="46"/>
      <c r="AD24" s="38">
        <f t="shared" si="2"/>
        <v>0</v>
      </c>
      <c r="AE24" s="37">
        <v>0</v>
      </c>
      <c r="AF24" s="46"/>
      <c r="AG24" s="46"/>
      <c r="AH24" s="46"/>
      <c r="AI24" s="46"/>
      <c r="AJ24" s="46"/>
      <c r="AK24" s="46"/>
      <c r="AL24" s="46"/>
      <c r="AM24" s="38">
        <f t="shared" si="9"/>
        <v>0</v>
      </c>
      <c r="AN24" s="37">
        <v>0</v>
      </c>
      <c r="AO24" s="46"/>
      <c r="AP24" s="46"/>
      <c r="AQ24" s="46"/>
      <c r="AR24" s="46"/>
      <c r="AS24" s="46"/>
      <c r="AT24" s="46"/>
      <c r="AU24" s="46"/>
      <c r="AV24" s="38">
        <f t="shared" si="10"/>
        <v>0</v>
      </c>
      <c r="AW24" s="37">
        <v>0</v>
      </c>
      <c r="AX24" s="46"/>
      <c r="AY24" s="46"/>
      <c r="AZ24" s="46"/>
      <c r="BA24" s="46"/>
      <c r="BB24" s="46"/>
      <c r="BC24" s="46"/>
      <c r="BD24" s="46"/>
      <c r="BE24" s="38">
        <f t="shared" si="11"/>
        <v>0</v>
      </c>
      <c r="BF24" s="37">
        <v>0</v>
      </c>
      <c r="BG24" s="46"/>
      <c r="BH24" s="46"/>
      <c r="BI24" s="46"/>
      <c r="BJ24" s="46"/>
      <c r="BK24" s="46"/>
      <c r="BL24" s="46"/>
      <c r="BM24" s="46"/>
      <c r="BN24" s="38">
        <f t="shared" si="12"/>
        <v>0</v>
      </c>
      <c r="BO24" s="37">
        <v>0</v>
      </c>
      <c r="BP24" s="46"/>
      <c r="BQ24" s="46"/>
      <c r="BR24" s="46"/>
      <c r="BS24" s="46"/>
      <c r="BT24" s="46"/>
      <c r="BU24" s="46"/>
      <c r="BV24" s="46"/>
      <c r="BW24" s="38">
        <f t="shared" si="13"/>
        <v>0</v>
      </c>
      <c r="BX24" s="37">
        <v>0</v>
      </c>
      <c r="BY24" s="46"/>
      <c r="BZ24" s="46"/>
      <c r="CA24" s="46"/>
      <c r="CB24" s="46"/>
      <c r="CC24" s="46"/>
      <c r="CD24" s="46"/>
      <c r="CE24" s="46"/>
      <c r="CF24" s="38">
        <f t="shared" si="14"/>
        <v>0</v>
      </c>
      <c r="CG24" s="37">
        <v>0</v>
      </c>
      <c r="CH24" s="46"/>
      <c r="CI24" s="46"/>
      <c r="CJ24" s="46"/>
      <c r="CK24" s="46"/>
      <c r="CL24" s="46"/>
      <c r="CM24" s="46"/>
      <c r="CN24" s="46"/>
      <c r="CO24" s="38">
        <f t="shared" si="15"/>
        <v>0</v>
      </c>
      <c r="CP24" s="37">
        <v>0</v>
      </c>
      <c r="CQ24" s="46"/>
      <c r="CR24" s="46"/>
      <c r="CS24" s="46"/>
      <c r="CT24" s="46"/>
      <c r="CU24" s="46"/>
      <c r="CV24" s="46"/>
      <c r="CW24" s="46"/>
      <c r="CX24" s="38">
        <f t="shared" si="16"/>
        <v>0</v>
      </c>
      <c r="CY24" s="37">
        <v>0</v>
      </c>
      <c r="CZ24" s="46"/>
      <c r="DA24" s="46"/>
      <c r="DB24" s="46"/>
      <c r="DC24" s="46"/>
      <c r="DD24" s="46"/>
      <c r="DE24" s="46"/>
      <c r="DF24" s="46"/>
      <c r="DG24" s="38">
        <f t="shared" si="17"/>
        <v>0</v>
      </c>
      <c r="DH24" s="37">
        <v>0</v>
      </c>
      <c r="DI24" s="46"/>
      <c r="DJ24" s="46"/>
      <c r="DK24" s="46"/>
      <c r="DL24" s="46"/>
      <c r="DM24" s="46"/>
      <c r="DN24" s="46"/>
      <c r="DO24" s="46"/>
      <c r="DP24" s="38">
        <f t="shared" si="18"/>
        <v>0</v>
      </c>
      <c r="DQ24" s="37">
        <v>0</v>
      </c>
      <c r="DR24" s="46"/>
      <c r="DS24" s="46"/>
      <c r="DT24" s="46"/>
      <c r="DU24" s="46"/>
      <c r="DV24" s="46"/>
      <c r="DW24" s="46"/>
      <c r="DX24" s="46"/>
      <c r="DY24" s="38">
        <f t="shared" si="19"/>
        <v>0</v>
      </c>
      <c r="DZ24" s="110">
        <v>0</v>
      </c>
      <c r="EA24" s="116"/>
      <c r="EB24" s="46"/>
      <c r="EC24" s="46"/>
      <c r="ED24" s="46"/>
      <c r="EE24" s="46"/>
      <c r="EF24" s="46"/>
      <c r="EG24" s="117"/>
      <c r="EH24" s="114">
        <f t="shared" si="20"/>
        <v>0</v>
      </c>
      <c r="EI24" s="74">
        <f t="shared" si="21"/>
        <v>0</v>
      </c>
      <c r="EJ24" s="75">
        <f t="shared" si="22"/>
        <v>0</v>
      </c>
      <c r="EK24" s="75">
        <f t="shared" si="23"/>
        <v>0</v>
      </c>
      <c r="EL24" s="75">
        <f t="shared" si="24"/>
        <v>0</v>
      </c>
      <c r="EM24" s="75">
        <f t="shared" si="25"/>
        <v>0</v>
      </c>
      <c r="EN24" s="75">
        <f t="shared" si="26"/>
        <v>0</v>
      </c>
      <c r="EO24" s="76">
        <f t="shared" si="27"/>
        <v>0</v>
      </c>
      <c r="EP24" s="71">
        <f t="shared" si="28"/>
        <v>0</v>
      </c>
      <c r="EQ24" s="71">
        <f t="shared" si="29"/>
        <v>0</v>
      </c>
      <c r="ER24" s="71">
        <f t="shared" si="30"/>
        <v>0</v>
      </c>
      <c r="ES24" s="71">
        <f t="shared" si="31"/>
        <v>0</v>
      </c>
      <c r="ET24" s="71">
        <f t="shared" si="4"/>
        <v>0</v>
      </c>
      <c r="EU24" s="71">
        <f t="shared" si="5"/>
        <v>0</v>
      </c>
      <c r="EV24" s="71">
        <f t="shared" si="6"/>
        <v>0</v>
      </c>
      <c r="EW24" s="15" t="e">
        <f t="shared" si="7"/>
        <v>#DIV/0!</v>
      </c>
      <c r="EX24" s="15" t="e">
        <f t="shared" si="8"/>
        <v>#DIV/0!</v>
      </c>
    </row>
    <row r="25" spans="1:154" ht="18" customHeight="1" thickBot="1" x14ac:dyDescent="0.3">
      <c r="A25" s="260"/>
      <c r="B25" s="262"/>
      <c r="C25" s="150">
        <v>0</v>
      </c>
      <c r="D25" s="37">
        <v>0</v>
      </c>
      <c r="E25" s="130"/>
      <c r="F25" s="131"/>
      <c r="G25" s="131"/>
      <c r="H25" s="131"/>
      <c r="I25" s="131"/>
      <c r="J25" s="131"/>
      <c r="K25" s="132"/>
      <c r="L25" s="38">
        <f t="shared" si="0"/>
        <v>0</v>
      </c>
      <c r="M25" s="37">
        <v>0</v>
      </c>
      <c r="N25" s="130"/>
      <c r="O25" s="131"/>
      <c r="P25" s="131"/>
      <c r="Q25" s="131"/>
      <c r="R25" s="131"/>
      <c r="S25" s="131"/>
      <c r="T25" s="132"/>
      <c r="U25" s="38">
        <f t="shared" si="1"/>
        <v>0</v>
      </c>
      <c r="V25" s="37">
        <v>0</v>
      </c>
      <c r="W25" s="46"/>
      <c r="X25" s="46"/>
      <c r="Y25" s="46"/>
      <c r="Z25" s="46"/>
      <c r="AA25" s="46"/>
      <c r="AB25" s="46"/>
      <c r="AC25" s="46"/>
      <c r="AD25" s="38">
        <f t="shared" si="2"/>
        <v>0</v>
      </c>
      <c r="AE25" s="37">
        <v>0</v>
      </c>
      <c r="AF25" s="46"/>
      <c r="AG25" s="46"/>
      <c r="AH25" s="46"/>
      <c r="AI25" s="46"/>
      <c r="AJ25" s="46"/>
      <c r="AK25" s="46"/>
      <c r="AL25" s="46"/>
      <c r="AM25" s="38">
        <f t="shared" si="9"/>
        <v>0</v>
      </c>
      <c r="AN25" s="37">
        <v>0</v>
      </c>
      <c r="AO25" s="46"/>
      <c r="AP25" s="46"/>
      <c r="AQ25" s="46"/>
      <c r="AR25" s="46"/>
      <c r="AS25" s="46"/>
      <c r="AT25" s="46"/>
      <c r="AU25" s="46"/>
      <c r="AV25" s="38">
        <f t="shared" si="10"/>
        <v>0</v>
      </c>
      <c r="AW25" s="37">
        <v>0</v>
      </c>
      <c r="AX25" s="46"/>
      <c r="AY25" s="46"/>
      <c r="AZ25" s="46"/>
      <c r="BA25" s="46"/>
      <c r="BB25" s="46"/>
      <c r="BC25" s="46"/>
      <c r="BD25" s="46"/>
      <c r="BE25" s="38">
        <f t="shared" si="11"/>
        <v>0</v>
      </c>
      <c r="BF25" s="37">
        <v>0</v>
      </c>
      <c r="BG25" s="46"/>
      <c r="BH25" s="46"/>
      <c r="BI25" s="46"/>
      <c r="BJ25" s="46"/>
      <c r="BK25" s="46"/>
      <c r="BL25" s="46"/>
      <c r="BM25" s="46"/>
      <c r="BN25" s="38">
        <f t="shared" si="12"/>
        <v>0</v>
      </c>
      <c r="BO25" s="37">
        <v>0</v>
      </c>
      <c r="BP25" s="46"/>
      <c r="BQ25" s="46"/>
      <c r="BR25" s="46"/>
      <c r="BS25" s="46"/>
      <c r="BT25" s="46"/>
      <c r="BU25" s="46"/>
      <c r="BV25" s="46"/>
      <c r="BW25" s="38">
        <f t="shared" si="13"/>
        <v>0</v>
      </c>
      <c r="BX25" s="37">
        <v>0</v>
      </c>
      <c r="BY25" s="46"/>
      <c r="BZ25" s="46"/>
      <c r="CA25" s="46"/>
      <c r="CB25" s="46"/>
      <c r="CC25" s="46"/>
      <c r="CD25" s="46"/>
      <c r="CE25" s="46"/>
      <c r="CF25" s="38">
        <f t="shared" si="14"/>
        <v>0</v>
      </c>
      <c r="CG25" s="37">
        <v>0</v>
      </c>
      <c r="CH25" s="46"/>
      <c r="CI25" s="46"/>
      <c r="CJ25" s="46"/>
      <c r="CK25" s="46"/>
      <c r="CL25" s="46"/>
      <c r="CM25" s="46"/>
      <c r="CN25" s="46"/>
      <c r="CO25" s="38">
        <f t="shared" si="15"/>
        <v>0</v>
      </c>
      <c r="CP25" s="37">
        <v>0</v>
      </c>
      <c r="CQ25" s="46"/>
      <c r="CR25" s="46"/>
      <c r="CS25" s="46"/>
      <c r="CT25" s="46"/>
      <c r="CU25" s="46"/>
      <c r="CV25" s="46"/>
      <c r="CW25" s="46"/>
      <c r="CX25" s="38">
        <f t="shared" si="16"/>
        <v>0</v>
      </c>
      <c r="CY25" s="37">
        <v>0</v>
      </c>
      <c r="CZ25" s="46"/>
      <c r="DA25" s="46"/>
      <c r="DB25" s="46"/>
      <c r="DC25" s="46"/>
      <c r="DD25" s="46"/>
      <c r="DE25" s="46"/>
      <c r="DF25" s="46"/>
      <c r="DG25" s="38">
        <f t="shared" si="17"/>
        <v>0</v>
      </c>
      <c r="DH25" s="37">
        <v>0</v>
      </c>
      <c r="DI25" s="46"/>
      <c r="DJ25" s="46"/>
      <c r="DK25" s="46"/>
      <c r="DL25" s="46"/>
      <c r="DM25" s="46"/>
      <c r="DN25" s="46"/>
      <c r="DO25" s="46"/>
      <c r="DP25" s="38">
        <f t="shared" si="18"/>
        <v>0</v>
      </c>
      <c r="DQ25" s="37">
        <v>0</v>
      </c>
      <c r="DR25" s="46"/>
      <c r="DS25" s="46"/>
      <c r="DT25" s="46"/>
      <c r="DU25" s="46"/>
      <c r="DV25" s="46"/>
      <c r="DW25" s="46"/>
      <c r="DX25" s="46"/>
      <c r="DY25" s="38">
        <f t="shared" si="19"/>
        <v>0</v>
      </c>
      <c r="DZ25" s="110">
        <v>0</v>
      </c>
      <c r="EA25" s="116"/>
      <c r="EB25" s="46"/>
      <c r="EC25" s="46"/>
      <c r="ED25" s="46"/>
      <c r="EE25" s="46"/>
      <c r="EF25" s="46"/>
      <c r="EG25" s="117"/>
      <c r="EH25" s="114">
        <f t="shared" si="20"/>
        <v>0</v>
      </c>
      <c r="EI25" s="74">
        <f t="shared" si="21"/>
        <v>0</v>
      </c>
      <c r="EJ25" s="75">
        <f t="shared" si="22"/>
        <v>0</v>
      </c>
      <c r="EK25" s="75">
        <f t="shared" si="23"/>
        <v>0</v>
      </c>
      <c r="EL25" s="75">
        <f t="shared" si="24"/>
        <v>0</v>
      </c>
      <c r="EM25" s="75">
        <f t="shared" si="25"/>
        <v>0</v>
      </c>
      <c r="EN25" s="75">
        <f t="shared" si="26"/>
        <v>0</v>
      </c>
      <c r="EO25" s="76">
        <f t="shared" si="27"/>
        <v>0</v>
      </c>
      <c r="EP25" s="71">
        <f t="shared" si="28"/>
        <v>0</v>
      </c>
      <c r="EQ25" s="71">
        <f t="shared" si="29"/>
        <v>0</v>
      </c>
      <c r="ER25" s="71">
        <f t="shared" si="30"/>
        <v>0</v>
      </c>
      <c r="ES25" s="71">
        <f t="shared" si="31"/>
        <v>0</v>
      </c>
      <c r="ET25" s="71">
        <f t="shared" si="4"/>
        <v>0</v>
      </c>
      <c r="EU25" s="71">
        <f t="shared" si="5"/>
        <v>0</v>
      </c>
      <c r="EV25" s="71">
        <f t="shared" si="6"/>
        <v>0</v>
      </c>
      <c r="EW25" s="15" t="e">
        <f t="shared" si="7"/>
        <v>#DIV/0!</v>
      </c>
      <c r="EX25" s="15" t="e">
        <f t="shared" si="8"/>
        <v>#DIV/0!</v>
      </c>
    </row>
    <row r="26" spans="1:154" ht="18" customHeight="1" thickBot="1" x14ac:dyDescent="0.3">
      <c r="A26" s="260" t="s">
        <v>70</v>
      </c>
      <c r="B26" s="262"/>
      <c r="C26" s="150">
        <f t="shared" si="32"/>
        <v>0</v>
      </c>
      <c r="D26" s="37">
        <v>0</v>
      </c>
      <c r="E26" s="130"/>
      <c r="F26" s="131"/>
      <c r="G26" s="131"/>
      <c r="H26" s="131"/>
      <c r="I26" s="131"/>
      <c r="J26" s="131"/>
      <c r="K26" s="132"/>
      <c r="L26" s="38">
        <f t="shared" si="0"/>
        <v>0</v>
      </c>
      <c r="M26" s="37">
        <v>0</v>
      </c>
      <c r="N26" s="130"/>
      <c r="O26" s="131"/>
      <c r="P26" s="131"/>
      <c r="Q26" s="131"/>
      <c r="R26" s="131"/>
      <c r="S26" s="131"/>
      <c r="T26" s="132"/>
      <c r="U26" s="38">
        <f t="shared" si="1"/>
        <v>0</v>
      </c>
      <c r="V26" s="37">
        <v>0</v>
      </c>
      <c r="W26" s="46"/>
      <c r="X26" s="46"/>
      <c r="Y26" s="46"/>
      <c r="Z26" s="46"/>
      <c r="AA26" s="46"/>
      <c r="AB26" s="46"/>
      <c r="AC26" s="46"/>
      <c r="AD26" s="38">
        <f t="shared" si="2"/>
        <v>0</v>
      </c>
      <c r="AE26" s="37">
        <v>0</v>
      </c>
      <c r="AF26" s="46"/>
      <c r="AG26" s="46"/>
      <c r="AH26" s="46"/>
      <c r="AI26" s="46"/>
      <c r="AJ26" s="46"/>
      <c r="AK26" s="46"/>
      <c r="AL26" s="46"/>
      <c r="AM26" s="38">
        <f t="shared" si="9"/>
        <v>0</v>
      </c>
      <c r="AN26" s="37">
        <v>0</v>
      </c>
      <c r="AO26" s="46"/>
      <c r="AP26" s="46"/>
      <c r="AQ26" s="46"/>
      <c r="AR26" s="46"/>
      <c r="AS26" s="46"/>
      <c r="AT26" s="46"/>
      <c r="AU26" s="46"/>
      <c r="AV26" s="38">
        <f t="shared" si="10"/>
        <v>0</v>
      </c>
      <c r="AW26" s="37">
        <v>0</v>
      </c>
      <c r="AX26" s="46"/>
      <c r="AY26" s="46"/>
      <c r="AZ26" s="46"/>
      <c r="BA26" s="46"/>
      <c r="BB26" s="46"/>
      <c r="BC26" s="46"/>
      <c r="BD26" s="46"/>
      <c r="BE26" s="38">
        <f t="shared" si="11"/>
        <v>0</v>
      </c>
      <c r="BF26" s="37">
        <v>0</v>
      </c>
      <c r="BG26" s="46"/>
      <c r="BH26" s="46"/>
      <c r="BI26" s="46"/>
      <c r="BJ26" s="46"/>
      <c r="BK26" s="46"/>
      <c r="BL26" s="46"/>
      <c r="BM26" s="46"/>
      <c r="BN26" s="38">
        <f t="shared" si="12"/>
        <v>0</v>
      </c>
      <c r="BO26" s="37">
        <v>0</v>
      </c>
      <c r="BP26" s="46"/>
      <c r="BQ26" s="46"/>
      <c r="BR26" s="46"/>
      <c r="BS26" s="46"/>
      <c r="BT26" s="46"/>
      <c r="BU26" s="46"/>
      <c r="BV26" s="46"/>
      <c r="BW26" s="38">
        <f t="shared" si="13"/>
        <v>0</v>
      </c>
      <c r="BX26" s="37">
        <v>0</v>
      </c>
      <c r="BY26" s="46"/>
      <c r="BZ26" s="46"/>
      <c r="CA26" s="46"/>
      <c r="CB26" s="46"/>
      <c r="CC26" s="46"/>
      <c r="CD26" s="46"/>
      <c r="CE26" s="46"/>
      <c r="CF26" s="38">
        <f t="shared" si="14"/>
        <v>0</v>
      </c>
      <c r="CG26" s="37">
        <v>0</v>
      </c>
      <c r="CH26" s="46"/>
      <c r="CI26" s="46"/>
      <c r="CJ26" s="46"/>
      <c r="CK26" s="46"/>
      <c r="CL26" s="46"/>
      <c r="CM26" s="46"/>
      <c r="CN26" s="46"/>
      <c r="CO26" s="38">
        <f t="shared" si="15"/>
        <v>0</v>
      </c>
      <c r="CP26" s="37">
        <v>0</v>
      </c>
      <c r="CQ26" s="46"/>
      <c r="CR26" s="46"/>
      <c r="CS26" s="46"/>
      <c r="CT26" s="46"/>
      <c r="CU26" s="46"/>
      <c r="CV26" s="46"/>
      <c r="CW26" s="46"/>
      <c r="CX26" s="38">
        <f t="shared" si="16"/>
        <v>0</v>
      </c>
      <c r="CY26" s="37">
        <v>0</v>
      </c>
      <c r="CZ26" s="46"/>
      <c r="DA26" s="46"/>
      <c r="DB26" s="46"/>
      <c r="DC26" s="46"/>
      <c r="DD26" s="46"/>
      <c r="DE26" s="46"/>
      <c r="DF26" s="46"/>
      <c r="DG26" s="38">
        <f t="shared" si="17"/>
        <v>0</v>
      </c>
      <c r="DH26" s="37">
        <v>0</v>
      </c>
      <c r="DI26" s="46"/>
      <c r="DJ26" s="46"/>
      <c r="DK26" s="46"/>
      <c r="DL26" s="46"/>
      <c r="DM26" s="46"/>
      <c r="DN26" s="46"/>
      <c r="DO26" s="46"/>
      <c r="DP26" s="38">
        <f t="shared" si="18"/>
        <v>0</v>
      </c>
      <c r="DQ26" s="37">
        <v>0</v>
      </c>
      <c r="DR26" s="46"/>
      <c r="DS26" s="46"/>
      <c r="DT26" s="46"/>
      <c r="DU26" s="46"/>
      <c r="DV26" s="46"/>
      <c r="DW26" s="46"/>
      <c r="DX26" s="46"/>
      <c r="DY26" s="38">
        <f t="shared" si="19"/>
        <v>0</v>
      </c>
      <c r="DZ26" s="110">
        <v>0</v>
      </c>
      <c r="EA26" s="116"/>
      <c r="EB26" s="46"/>
      <c r="EC26" s="46"/>
      <c r="ED26" s="46"/>
      <c r="EE26" s="46"/>
      <c r="EF26" s="46"/>
      <c r="EG26" s="117"/>
      <c r="EH26" s="114">
        <f t="shared" si="20"/>
        <v>0</v>
      </c>
      <c r="EI26" s="74">
        <f t="shared" si="21"/>
        <v>0</v>
      </c>
      <c r="EJ26" s="75">
        <f t="shared" si="22"/>
        <v>0</v>
      </c>
      <c r="EK26" s="75">
        <f t="shared" si="23"/>
        <v>0</v>
      </c>
      <c r="EL26" s="75">
        <f t="shared" si="24"/>
        <v>0</v>
      </c>
      <c r="EM26" s="75">
        <f t="shared" si="25"/>
        <v>0</v>
      </c>
      <c r="EN26" s="75">
        <f t="shared" si="26"/>
        <v>0</v>
      </c>
      <c r="EO26" s="76">
        <f t="shared" si="27"/>
        <v>0</v>
      </c>
      <c r="EP26" s="71">
        <f t="shared" si="28"/>
        <v>0</v>
      </c>
      <c r="EQ26" s="71">
        <f t="shared" si="29"/>
        <v>0</v>
      </c>
      <c r="ER26" s="71">
        <f t="shared" si="30"/>
        <v>0</v>
      </c>
      <c r="ES26" s="71">
        <f t="shared" si="31"/>
        <v>0</v>
      </c>
      <c r="ET26" s="71">
        <f t="shared" si="4"/>
        <v>0</v>
      </c>
      <c r="EU26" s="71">
        <f t="shared" si="5"/>
        <v>0</v>
      </c>
      <c r="EV26" s="71">
        <f t="shared" si="6"/>
        <v>0</v>
      </c>
      <c r="EW26" s="15" t="e">
        <f t="shared" si="7"/>
        <v>#DIV/0!</v>
      </c>
      <c r="EX26" s="15" t="e">
        <f t="shared" si="8"/>
        <v>#DIV/0!</v>
      </c>
    </row>
    <row r="27" spans="1:154" ht="18" customHeight="1" thickBot="1" x14ac:dyDescent="0.3">
      <c r="A27" s="260"/>
      <c r="B27" s="262"/>
      <c r="C27" s="150">
        <v>0</v>
      </c>
      <c r="D27" s="37">
        <v>0</v>
      </c>
      <c r="E27" s="130"/>
      <c r="F27" s="131"/>
      <c r="G27" s="131"/>
      <c r="H27" s="131"/>
      <c r="I27" s="131"/>
      <c r="J27" s="131"/>
      <c r="K27" s="132"/>
      <c r="L27" s="38">
        <f t="shared" si="0"/>
        <v>0</v>
      </c>
      <c r="M27" s="37">
        <v>0</v>
      </c>
      <c r="N27" s="130"/>
      <c r="O27" s="131"/>
      <c r="P27" s="131"/>
      <c r="Q27" s="131"/>
      <c r="R27" s="131"/>
      <c r="S27" s="131"/>
      <c r="T27" s="132"/>
      <c r="U27" s="38">
        <f t="shared" si="1"/>
        <v>0</v>
      </c>
      <c r="V27" s="37">
        <v>0</v>
      </c>
      <c r="W27" s="46"/>
      <c r="X27" s="46"/>
      <c r="Y27" s="46"/>
      <c r="Z27" s="46"/>
      <c r="AA27" s="46"/>
      <c r="AB27" s="46"/>
      <c r="AC27" s="46"/>
      <c r="AD27" s="38">
        <f t="shared" si="2"/>
        <v>0</v>
      </c>
      <c r="AE27" s="37">
        <v>0</v>
      </c>
      <c r="AF27" s="46"/>
      <c r="AG27" s="46"/>
      <c r="AH27" s="46"/>
      <c r="AI27" s="46"/>
      <c r="AJ27" s="46"/>
      <c r="AK27" s="46"/>
      <c r="AL27" s="46"/>
      <c r="AM27" s="38">
        <f t="shared" si="9"/>
        <v>0</v>
      </c>
      <c r="AN27" s="37">
        <v>0</v>
      </c>
      <c r="AO27" s="46"/>
      <c r="AP27" s="46"/>
      <c r="AQ27" s="46"/>
      <c r="AR27" s="46"/>
      <c r="AS27" s="46"/>
      <c r="AT27" s="46"/>
      <c r="AU27" s="46"/>
      <c r="AV27" s="38">
        <f t="shared" si="10"/>
        <v>0</v>
      </c>
      <c r="AW27" s="37">
        <v>0</v>
      </c>
      <c r="AX27" s="46"/>
      <c r="AY27" s="46"/>
      <c r="AZ27" s="46"/>
      <c r="BA27" s="46"/>
      <c r="BB27" s="46"/>
      <c r="BC27" s="46"/>
      <c r="BD27" s="46"/>
      <c r="BE27" s="38">
        <f t="shared" si="11"/>
        <v>0</v>
      </c>
      <c r="BF27" s="37">
        <v>0</v>
      </c>
      <c r="BG27" s="46"/>
      <c r="BH27" s="46"/>
      <c r="BI27" s="46"/>
      <c r="BJ27" s="46"/>
      <c r="BK27" s="46"/>
      <c r="BL27" s="46"/>
      <c r="BM27" s="46"/>
      <c r="BN27" s="38">
        <f t="shared" si="12"/>
        <v>0</v>
      </c>
      <c r="BO27" s="37">
        <v>0</v>
      </c>
      <c r="BP27" s="46"/>
      <c r="BQ27" s="46"/>
      <c r="BR27" s="46"/>
      <c r="BS27" s="46"/>
      <c r="BT27" s="46"/>
      <c r="BU27" s="46"/>
      <c r="BV27" s="46"/>
      <c r="BW27" s="38">
        <f t="shared" si="13"/>
        <v>0</v>
      </c>
      <c r="BX27" s="37">
        <v>0</v>
      </c>
      <c r="BY27" s="46"/>
      <c r="BZ27" s="46"/>
      <c r="CA27" s="46"/>
      <c r="CB27" s="46"/>
      <c r="CC27" s="46"/>
      <c r="CD27" s="46"/>
      <c r="CE27" s="46"/>
      <c r="CF27" s="38">
        <f t="shared" si="14"/>
        <v>0</v>
      </c>
      <c r="CG27" s="37">
        <v>0</v>
      </c>
      <c r="CH27" s="46"/>
      <c r="CI27" s="46"/>
      <c r="CJ27" s="46"/>
      <c r="CK27" s="46"/>
      <c r="CL27" s="46"/>
      <c r="CM27" s="46"/>
      <c r="CN27" s="46"/>
      <c r="CO27" s="38">
        <f t="shared" si="15"/>
        <v>0</v>
      </c>
      <c r="CP27" s="37">
        <v>0</v>
      </c>
      <c r="CQ27" s="46"/>
      <c r="CR27" s="46"/>
      <c r="CS27" s="46"/>
      <c r="CT27" s="46"/>
      <c r="CU27" s="46"/>
      <c r="CV27" s="46"/>
      <c r="CW27" s="46"/>
      <c r="CX27" s="38">
        <f t="shared" si="16"/>
        <v>0</v>
      </c>
      <c r="CY27" s="37">
        <v>0</v>
      </c>
      <c r="CZ27" s="46"/>
      <c r="DA27" s="46"/>
      <c r="DB27" s="46"/>
      <c r="DC27" s="46"/>
      <c r="DD27" s="46"/>
      <c r="DE27" s="46"/>
      <c r="DF27" s="46"/>
      <c r="DG27" s="38">
        <f t="shared" si="17"/>
        <v>0</v>
      </c>
      <c r="DH27" s="37">
        <v>0</v>
      </c>
      <c r="DI27" s="46"/>
      <c r="DJ27" s="46"/>
      <c r="DK27" s="46"/>
      <c r="DL27" s="46"/>
      <c r="DM27" s="46"/>
      <c r="DN27" s="46"/>
      <c r="DO27" s="46"/>
      <c r="DP27" s="38">
        <f t="shared" si="18"/>
        <v>0</v>
      </c>
      <c r="DQ27" s="37">
        <v>0</v>
      </c>
      <c r="DR27" s="46"/>
      <c r="DS27" s="46"/>
      <c r="DT27" s="46"/>
      <c r="DU27" s="46"/>
      <c r="DV27" s="46"/>
      <c r="DW27" s="46"/>
      <c r="DX27" s="46"/>
      <c r="DY27" s="38">
        <f t="shared" si="19"/>
        <v>0</v>
      </c>
      <c r="DZ27" s="110">
        <v>0</v>
      </c>
      <c r="EA27" s="116"/>
      <c r="EB27" s="46"/>
      <c r="EC27" s="46"/>
      <c r="ED27" s="46"/>
      <c r="EE27" s="46"/>
      <c r="EF27" s="46"/>
      <c r="EG27" s="117"/>
      <c r="EH27" s="114">
        <f t="shared" si="20"/>
        <v>0</v>
      </c>
      <c r="EI27" s="74">
        <f t="shared" si="21"/>
        <v>0</v>
      </c>
      <c r="EJ27" s="75">
        <f t="shared" si="22"/>
        <v>0</v>
      </c>
      <c r="EK27" s="75">
        <f t="shared" si="23"/>
        <v>0</v>
      </c>
      <c r="EL27" s="75">
        <f t="shared" si="24"/>
        <v>0</v>
      </c>
      <c r="EM27" s="75">
        <f t="shared" si="25"/>
        <v>0</v>
      </c>
      <c r="EN27" s="75">
        <f t="shared" si="26"/>
        <v>0</v>
      </c>
      <c r="EO27" s="76">
        <f t="shared" si="27"/>
        <v>0</v>
      </c>
      <c r="EP27" s="71">
        <f t="shared" si="28"/>
        <v>0</v>
      </c>
      <c r="EQ27" s="71">
        <f t="shared" si="29"/>
        <v>0</v>
      </c>
      <c r="ER27" s="71">
        <f t="shared" si="30"/>
        <v>0</v>
      </c>
      <c r="ES27" s="71">
        <f t="shared" si="31"/>
        <v>0</v>
      </c>
      <c r="ET27" s="71">
        <f t="shared" si="4"/>
        <v>0</v>
      </c>
      <c r="EU27" s="71">
        <f t="shared" si="5"/>
        <v>0</v>
      </c>
      <c r="EV27" s="71">
        <f t="shared" si="6"/>
        <v>0</v>
      </c>
      <c r="EW27" s="15" t="e">
        <f t="shared" si="7"/>
        <v>#DIV/0!</v>
      </c>
      <c r="EX27" s="15" t="e">
        <f t="shared" si="8"/>
        <v>#DIV/0!</v>
      </c>
    </row>
    <row r="28" spans="1:154" ht="18" customHeight="1" thickBot="1" x14ac:dyDescent="0.3">
      <c r="A28" s="260" t="s">
        <v>71</v>
      </c>
      <c r="B28" s="261"/>
      <c r="C28" s="150">
        <f t="shared" si="32"/>
        <v>0</v>
      </c>
      <c r="D28" s="37">
        <v>0</v>
      </c>
      <c r="E28" s="130"/>
      <c r="F28" s="131"/>
      <c r="G28" s="131"/>
      <c r="H28" s="131"/>
      <c r="I28" s="131"/>
      <c r="J28" s="131"/>
      <c r="K28" s="132"/>
      <c r="L28" s="38">
        <f t="shared" si="0"/>
        <v>0</v>
      </c>
      <c r="M28" s="37">
        <v>0</v>
      </c>
      <c r="N28" s="130"/>
      <c r="O28" s="131"/>
      <c r="P28" s="131"/>
      <c r="Q28" s="131"/>
      <c r="R28" s="131"/>
      <c r="S28" s="131"/>
      <c r="T28" s="132"/>
      <c r="U28" s="38">
        <f t="shared" si="1"/>
        <v>0</v>
      </c>
      <c r="V28" s="37">
        <v>0</v>
      </c>
      <c r="W28" s="46"/>
      <c r="X28" s="46"/>
      <c r="Y28" s="46"/>
      <c r="Z28" s="46"/>
      <c r="AA28" s="46"/>
      <c r="AB28" s="46"/>
      <c r="AC28" s="46"/>
      <c r="AD28" s="38">
        <f t="shared" si="2"/>
        <v>0</v>
      </c>
      <c r="AE28" s="37">
        <v>0</v>
      </c>
      <c r="AF28" s="46"/>
      <c r="AG28" s="46"/>
      <c r="AH28" s="46"/>
      <c r="AI28" s="46"/>
      <c r="AJ28" s="46"/>
      <c r="AK28" s="46"/>
      <c r="AL28" s="46"/>
      <c r="AM28" s="38">
        <f t="shared" si="9"/>
        <v>0</v>
      </c>
      <c r="AN28" s="37">
        <v>0</v>
      </c>
      <c r="AO28" s="46"/>
      <c r="AP28" s="46"/>
      <c r="AQ28" s="46"/>
      <c r="AR28" s="46"/>
      <c r="AS28" s="46"/>
      <c r="AT28" s="46"/>
      <c r="AU28" s="46"/>
      <c r="AV28" s="38">
        <f t="shared" si="10"/>
        <v>0</v>
      </c>
      <c r="AW28" s="37">
        <v>0</v>
      </c>
      <c r="AX28" s="46"/>
      <c r="AY28" s="46"/>
      <c r="AZ28" s="46"/>
      <c r="BA28" s="46"/>
      <c r="BB28" s="46"/>
      <c r="BC28" s="46"/>
      <c r="BD28" s="46"/>
      <c r="BE28" s="38">
        <f t="shared" si="11"/>
        <v>0</v>
      </c>
      <c r="BF28" s="37">
        <v>0</v>
      </c>
      <c r="BG28" s="46"/>
      <c r="BH28" s="46"/>
      <c r="BI28" s="46"/>
      <c r="BJ28" s="46"/>
      <c r="BK28" s="46"/>
      <c r="BL28" s="46"/>
      <c r="BM28" s="46"/>
      <c r="BN28" s="38">
        <f t="shared" si="12"/>
        <v>0</v>
      </c>
      <c r="BO28" s="37">
        <v>0</v>
      </c>
      <c r="BP28" s="46"/>
      <c r="BQ28" s="46"/>
      <c r="BR28" s="46"/>
      <c r="BS28" s="46"/>
      <c r="BT28" s="46"/>
      <c r="BU28" s="46"/>
      <c r="BV28" s="46"/>
      <c r="BW28" s="38">
        <f t="shared" si="13"/>
        <v>0</v>
      </c>
      <c r="BX28" s="37">
        <v>0</v>
      </c>
      <c r="BY28" s="46"/>
      <c r="BZ28" s="46"/>
      <c r="CA28" s="46"/>
      <c r="CB28" s="46"/>
      <c r="CC28" s="46"/>
      <c r="CD28" s="46"/>
      <c r="CE28" s="46"/>
      <c r="CF28" s="38">
        <f t="shared" si="14"/>
        <v>0</v>
      </c>
      <c r="CG28" s="37">
        <v>0</v>
      </c>
      <c r="CH28" s="46"/>
      <c r="CI28" s="46"/>
      <c r="CJ28" s="46"/>
      <c r="CK28" s="46"/>
      <c r="CL28" s="46"/>
      <c r="CM28" s="46"/>
      <c r="CN28" s="46"/>
      <c r="CO28" s="38">
        <f t="shared" si="15"/>
        <v>0</v>
      </c>
      <c r="CP28" s="37">
        <v>0</v>
      </c>
      <c r="CQ28" s="46"/>
      <c r="CR28" s="46"/>
      <c r="CS28" s="46"/>
      <c r="CT28" s="46"/>
      <c r="CU28" s="46"/>
      <c r="CV28" s="46"/>
      <c r="CW28" s="46"/>
      <c r="CX28" s="38">
        <f t="shared" si="16"/>
        <v>0</v>
      </c>
      <c r="CY28" s="37">
        <v>0</v>
      </c>
      <c r="CZ28" s="46"/>
      <c r="DA28" s="46"/>
      <c r="DB28" s="46"/>
      <c r="DC28" s="46"/>
      <c r="DD28" s="46"/>
      <c r="DE28" s="46"/>
      <c r="DF28" s="46"/>
      <c r="DG28" s="38">
        <f t="shared" si="17"/>
        <v>0</v>
      </c>
      <c r="DH28" s="37">
        <v>0</v>
      </c>
      <c r="DI28" s="46"/>
      <c r="DJ28" s="46"/>
      <c r="DK28" s="46"/>
      <c r="DL28" s="46"/>
      <c r="DM28" s="46"/>
      <c r="DN28" s="46"/>
      <c r="DO28" s="46"/>
      <c r="DP28" s="38">
        <f t="shared" si="18"/>
        <v>0</v>
      </c>
      <c r="DQ28" s="37">
        <v>0</v>
      </c>
      <c r="DR28" s="46"/>
      <c r="DS28" s="46"/>
      <c r="DT28" s="46"/>
      <c r="DU28" s="46"/>
      <c r="DV28" s="46"/>
      <c r="DW28" s="46"/>
      <c r="DX28" s="46"/>
      <c r="DY28" s="38">
        <f t="shared" si="19"/>
        <v>0</v>
      </c>
      <c r="DZ28" s="110">
        <v>0</v>
      </c>
      <c r="EA28" s="116"/>
      <c r="EB28" s="46"/>
      <c r="EC28" s="46"/>
      <c r="ED28" s="46"/>
      <c r="EE28" s="46"/>
      <c r="EF28" s="46"/>
      <c r="EG28" s="117"/>
      <c r="EH28" s="114">
        <f t="shared" si="20"/>
        <v>0</v>
      </c>
      <c r="EI28" s="74">
        <f t="shared" si="21"/>
        <v>0</v>
      </c>
      <c r="EJ28" s="75">
        <f t="shared" si="22"/>
        <v>0</v>
      </c>
      <c r="EK28" s="75">
        <f t="shared" si="23"/>
        <v>0</v>
      </c>
      <c r="EL28" s="75">
        <f t="shared" si="24"/>
        <v>0</v>
      </c>
      <c r="EM28" s="75">
        <f t="shared" si="25"/>
        <v>0</v>
      </c>
      <c r="EN28" s="75">
        <f t="shared" si="26"/>
        <v>0</v>
      </c>
      <c r="EO28" s="76">
        <f t="shared" si="27"/>
        <v>0</v>
      </c>
      <c r="EP28" s="71">
        <f t="shared" si="28"/>
        <v>0</v>
      </c>
      <c r="EQ28" s="71">
        <f t="shared" si="29"/>
        <v>0</v>
      </c>
      <c r="ER28" s="71">
        <f t="shared" si="30"/>
        <v>0</v>
      </c>
      <c r="ES28" s="71">
        <f t="shared" si="31"/>
        <v>0</v>
      </c>
      <c r="ET28" s="71">
        <f t="shared" si="4"/>
        <v>0</v>
      </c>
      <c r="EU28" s="71">
        <f t="shared" si="5"/>
        <v>0</v>
      </c>
      <c r="EV28" s="71">
        <f t="shared" si="6"/>
        <v>0</v>
      </c>
      <c r="EW28" s="15" t="e">
        <f t="shared" si="7"/>
        <v>#DIV/0!</v>
      </c>
      <c r="EX28" s="15" t="e">
        <f t="shared" si="8"/>
        <v>#DIV/0!</v>
      </c>
    </row>
    <row r="29" spans="1:154" ht="18" customHeight="1" thickBot="1" x14ac:dyDescent="0.3">
      <c r="A29" s="260"/>
      <c r="B29" s="261"/>
      <c r="C29" s="150">
        <v>0</v>
      </c>
      <c r="D29" s="37">
        <v>0</v>
      </c>
      <c r="E29" s="130"/>
      <c r="F29" s="131"/>
      <c r="G29" s="131"/>
      <c r="H29" s="131"/>
      <c r="I29" s="131"/>
      <c r="J29" s="131"/>
      <c r="K29" s="132"/>
      <c r="L29" s="38">
        <f t="shared" si="0"/>
        <v>0</v>
      </c>
      <c r="M29" s="37">
        <v>0</v>
      </c>
      <c r="N29" s="130"/>
      <c r="O29" s="131"/>
      <c r="P29" s="131"/>
      <c r="Q29" s="131"/>
      <c r="R29" s="131"/>
      <c r="S29" s="131"/>
      <c r="T29" s="132"/>
      <c r="U29" s="38">
        <f t="shared" si="1"/>
        <v>0</v>
      </c>
      <c r="V29" s="37">
        <v>0</v>
      </c>
      <c r="W29" s="46"/>
      <c r="X29" s="46"/>
      <c r="Y29" s="46"/>
      <c r="Z29" s="46"/>
      <c r="AA29" s="46"/>
      <c r="AB29" s="46"/>
      <c r="AC29" s="46"/>
      <c r="AD29" s="38">
        <f t="shared" si="2"/>
        <v>0</v>
      </c>
      <c r="AE29" s="37">
        <v>0</v>
      </c>
      <c r="AF29" s="46"/>
      <c r="AG29" s="46"/>
      <c r="AH29" s="46"/>
      <c r="AI29" s="46"/>
      <c r="AJ29" s="46"/>
      <c r="AK29" s="46"/>
      <c r="AL29" s="46"/>
      <c r="AM29" s="38">
        <f t="shared" si="9"/>
        <v>0</v>
      </c>
      <c r="AN29" s="37">
        <v>0</v>
      </c>
      <c r="AO29" s="46"/>
      <c r="AP29" s="46"/>
      <c r="AQ29" s="46"/>
      <c r="AR29" s="46"/>
      <c r="AS29" s="46"/>
      <c r="AT29" s="46"/>
      <c r="AU29" s="46"/>
      <c r="AV29" s="38">
        <f t="shared" si="10"/>
        <v>0</v>
      </c>
      <c r="AW29" s="37">
        <v>0</v>
      </c>
      <c r="AX29" s="46"/>
      <c r="AY29" s="46"/>
      <c r="AZ29" s="46"/>
      <c r="BA29" s="46"/>
      <c r="BB29" s="46"/>
      <c r="BC29" s="46"/>
      <c r="BD29" s="46"/>
      <c r="BE29" s="38">
        <f t="shared" si="11"/>
        <v>0</v>
      </c>
      <c r="BF29" s="37">
        <v>0</v>
      </c>
      <c r="BG29" s="46"/>
      <c r="BH29" s="46"/>
      <c r="BI29" s="46"/>
      <c r="BJ29" s="46"/>
      <c r="BK29" s="46"/>
      <c r="BL29" s="46"/>
      <c r="BM29" s="46"/>
      <c r="BN29" s="38">
        <f t="shared" si="12"/>
        <v>0</v>
      </c>
      <c r="BO29" s="37">
        <v>0</v>
      </c>
      <c r="BP29" s="46"/>
      <c r="BQ29" s="46"/>
      <c r="BR29" s="46"/>
      <c r="BS29" s="46"/>
      <c r="BT29" s="46"/>
      <c r="BU29" s="46"/>
      <c r="BV29" s="46"/>
      <c r="BW29" s="38">
        <f t="shared" si="13"/>
        <v>0</v>
      </c>
      <c r="BX29" s="37">
        <v>0</v>
      </c>
      <c r="BY29" s="46"/>
      <c r="BZ29" s="46"/>
      <c r="CA29" s="46"/>
      <c r="CB29" s="46"/>
      <c r="CC29" s="46"/>
      <c r="CD29" s="46"/>
      <c r="CE29" s="46"/>
      <c r="CF29" s="38">
        <f t="shared" si="14"/>
        <v>0</v>
      </c>
      <c r="CG29" s="37">
        <v>0</v>
      </c>
      <c r="CH29" s="46"/>
      <c r="CI29" s="46"/>
      <c r="CJ29" s="46"/>
      <c r="CK29" s="46"/>
      <c r="CL29" s="46"/>
      <c r="CM29" s="46"/>
      <c r="CN29" s="46"/>
      <c r="CO29" s="38">
        <f t="shared" si="15"/>
        <v>0</v>
      </c>
      <c r="CP29" s="37">
        <v>0</v>
      </c>
      <c r="CQ29" s="46"/>
      <c r="CR29" s="46"/>
      <c r="CS29" s="46"/>
      <c r="CT29" s="46"/>
      <c r="CU29" s="46"/>
      <c r="CV29" s="46"/>
      <c r="CW29" s="46"/>
      <c r="CX29" s="38">
        <f t="shared" si="16"/>
        <v>0</v>
      </c>
      <c r="CY29" s="37">
        <v>0</v>
      </c>
      <c r="CZ29" s="46"/>
      <c r="DA29" s="46"/>
      <c r="DB29" s="46"/>
      <c r="DC29" s="46"/>
      <c r="DD29" s="46"/>
      <c r="DE29" s="46"/>
      <c r="DF29" s="46"/>
      <c r="DG29" s="38">
        <f t="shared" si="17"/>
        <v>0</v>
      </c>
      <c r="DH29" s="37">
        <v>0</v>
      </c>
      <c r="DI29" s="46"/>
      <c r="DJ29" s="46"/>
      <c r="DK29" s="46"/>
      <c r="DL29" s="46"/>
      <c r="DM29" s="46"/>
      <c r="DN29" s="46"/>
      <c r="DO29" s="46"/>
      <c r="DP29" s="38">
        <f t="shared" si="18"/>
        <v>0</v>
      </c>
      <c r="DQ29" s="37">
        <v>0</v>
      </c>
      <c r="DR29" s="46"/>
      <c r="DS29" s="46"/>
      <c r="DT29" s="46"/>
      <c r="DU29" s="46"/>
      <c r="DV29" s="46"/>
      <c r="DW29" s="46"/>
      <c r="DX29" s="46"/>
      <c r="DY29" s="38">
        <f t="shared" si="19"/>
        <v>0</v>
      </c>
      <c r="DZ29" s="110">
        <v>0</v>
      </c>
      <c r="EA29" s="116"/>
      <c r="EB29" s="46"/>
      <c r="EC29" s="46"/>
      <c r="ED29" s="46"/>
      <c r="EE29" s="46"/>
      <c r="EF29" s="46"/>
      <c r="EG29" s="117"/>
      <c r="EH29" s="114">
        <f t="shared" si="20"/>
        <v>0</v>
      </c>
      <c r="EI29" s="74">
        <f t="shared" si="21"/>
        <v>0</v>
      </c>
      <c r="EJ29" s="75">
        <f t="shared" si="22"/>
        <v>0</v>
      </c>
      <c r="EK29" s="75">
        <f t="shared" si="23"/>
        <v>0</v>
      </c>
      <c r="EL29" s="75">
        <f t="shared" si="24"/>
        <v>0</v>
      </c>
      <c r="EM29" s="75">
        <f t="shared" si="25"/>
        <v>0</v>
      </c>
      <c r="EN29" s="75">
        <f t="shared" si="26"/>
        <v>0</v>
      </c>
      <c r="EO29" s="76">
        <f t="shared" si="27"/>
        <v>0</v>
      </c>
      <c r="EP29" s="71">
        <f t="shared" si="28"/>
        <v>0</v>
      </c>
      <c r="EQ29" s="71">
        <f t="shared" si="29"/>
        <v>0</v>
      </c>
      <c r="ER29" s="71">
        <f t="shared" si="30"/>
        <v>0</v>
      </c>
      <c r="ES29" s="71">
        <f t="shared" si="31"/>
        <v>0</v>
      </c>
      <c r="ET29" s="71">
        <f t="shared" si="4"/>
        <v>0</v>
      </c>
      <c r="EU29" s="71">
        <f t="shared" si="5"/>
        <v>0</v>
      </c>
      <c r="EV29" s="71">
        <f t="shared" si="6"/>
        <v>0</v>
      </c>
      <c r="EW29" s="15" t="e">
        <f t="shared" si="7"/>
        <v>#DIV/0!</v>
      </c>
      <c r="EX29" s="15" t="e">
        <f t="shared" si="8"/>
        <v>#DIV/0!</v>
      </c>
    </row>
    <row r="30" spans="1:154" ht="18" customHeight="1" thickBot="1" x14ac:dyDescent="0.3">
      <c r="A30" s="260" t="s">
        <v>72</v>
      </c>
      <c r="B30" s="261"/>
      <c r="C30" s="150">
        <f t="shared" si="32"/>
        <v>0</v>
      </c>
      <c r="D30" s="37">
        <v>0</v>
      </c>
      <c r="E30" s="130"/>
      <c r="F30" s="131"/>
      <c r="G30" s="131"/>
      <c r="H30" s="131"/>
      <c r="I30" s="131"/>
      <c r="J30" s="131"/>
      <c r="K30" s="132"/>
      <c r="L30" s="38">
        <f t="shared" si="0"/>
        <v>0</v>
      </c>
      <c r="M30" s="37">
        <v>0</v>
      </c>
      <c r="N30" s="130"/>
      <c r="O30" s="131"/>
      <c r="P30" s="131"/>
      <c r="Q30" s="131"/>
      <c r="R30" s="131"/>
      <c r="S30" s="131"/>
      <c r="T30" s="132"/>
      <c r="U30" s="38">
        <f t="shared" si="1"/>
        <v>0</v>
      </c>
      <c r="V30" s="37">
        <v>0</v>
      </c>
      <c r="W30" s="46"/>
      <c r="X30" s="46"/>
      <c r="Y30" s="46"/>
      <c r="Z30" s="46"/>
      <c r="AA30" s="46"/>
      <c r="AB30" s="46"/>
      <c r="AC30" s="46"/>
      <c r="AD30" s="38">
        <f t="shared" si="2"/>
        <v>0</v>
      </c>
      <c r="AE30" s="37">
        <v>0</v>
      </c>
      <c r="AF30" s="46"/>
      <c r="AG30" s="46"/>
      <c r="AH30" s="46"/>
      <c r="AI30" s="46"/>
      <c r="AJ30" s="46"/>
      <c r="AK30" s="46"/>
      <c r="AL30" s="46"/>
      <c r="AM30" s="38">
        <f t="shared" si="9"/>
        <v>0</v>
      </c>
      <c r="AN30" s="37">
        <v>0</v>
      </c>
      <c r="AO30" s="46"/>
      <c r="AP30" s="46"/>
      <c r="AQ30" s="46"/>
      <c r="AR30" s="46"/>
      <c r="AS30" s="46"/>
      <c r="AT30" s="46"/>
      <c r="AU30" s="46"/>
      <c r="AV30" s="38">
        <f t="shared" si="10"/>
        <v>0</v>
      </c>
      <c r="AW30" s="37">
        <v>0</v>
      </c>
      <c r="AX30" s="46"/>
      <c r="AY30" s="46"/>
      <c r="AZ30" s="46"/>
      <c r="BA30" s="46"/>
      <c r="BB30" s="46"/>
      <c r="BC30" s="46"/>
      <c r="BD30" s="46"/>
      <c r="BE30" s="38">
        <f t="shared" si="11"/>
        <v>0</v>
      </c>
      <c r="BF30" s="37">
        <v>0</v>
      </c>
      <c r="BG30" s="46"/>
      <c r="BH30" s="46"/>
      <c r="BI30" s="46"/>
      <c r="BJ30" s="46"/>
      <c r="BK30" s="46"/>
      <c r="BL30" s="46"/>
      <c r="BM30" s="46"/>
      <c r="BN30" s="38">
        <f t="shared" si="12"/>
        <v>0</v>
      </c>
      <c r="BO30" s="37">
        <v>0</v>
      </c>
      <c r="BP30" s="46"/>
      <c r="BQ30" s="46"/>
      <c r="BR30" s="46"/>
      <c r="BS30" s="46"/>
      <c r="BT30" s="46"/>
      <c r="BU30" s="46"/>
      <c r="BV30" s="46"/>
      <c r="BW30" s="38">
        <f t="shared" si="13"/>
        <v>0</v>
      </c>
      <c r="BX30" s="37">
        <v>0</v>
      </c>
      <c r="BY30" s="46"/>
      <c r="BZ30" s="46"/>
      <c r="CA30" s="46"/>
      <c r="CB30" s="46"/>
      <c r="CC30" s="46"/>
      <c r="CD30" s="46"/>
      <c r="CE30" s="46"/>
      <c r="CF30" s="38">
        <f t="shared" si="14"/>
        <v>0</v>
      </c>
      <c r="CG30" s="37">
        <v>0</v>
      </c>
      <c r="CH30" s="46"/>
      <c r="CI30" s="46"/>
      <c r="CJ30" s="46"/>
      <c r="CK30" s="46"/>
      <c r="CL30" s="46"/>
      <c r="CM30" s="46"/>
      <c r="CN30" s="46"/>
      <c r="CO30" s="38">
        <f t="shared" si="15"/>
        <v>0</v>
      </c>
      <c r="CP30" s="37">
        <v>0</v>
      </c>
      <c r="CQ30" s="46"/>
      <c r="CR30" s="46"/>
      <c r="CS30" s="46"/>
      <c r="CT30" s="46"/>
      <c r="CU30" s="46"/>
      <c r="CV30" s="46"/>
      <c r="CW30" s="46"/>
      <c r="CX30" s="38">
        <f t="shared" si="16"/>
        <v>0</v>
      </c>
      <c r="CY30" s="37">
        <v>0</v>
      </c>
      <c r="CZ30" s="46"/>
      <c r="DA30" s="46"/>
      <c r="DB30" s="46"/>
      <c r="DC30" s="46"/>
      <c r="DD30" s="46"/>
      <c r="DE30" s="46"/>
      <c r="DF30" s="46"/>
      <c r="DG30" s="38">
        <f t="shared" si="17"/>
        <v>0</v>
      </c>
      <c r="DH30" s="37">
        <v>0</v>
      </c>
      <c r="DI30" s="46"/>
      <c r="DJ30" s="46"/>
      <c r="DK30" s="46"/>
      <c r="DL30" s="46"/>
      <c r="DM30" s="46"/>
      <c r="DN30" s="46"/>
      <c r="DO30" s="46"/>
      <c r="DP30" s="38">
        <f t="shared" si="18"/>
        <v>0</v>
      </c>
      <c r="DQ30" s="37">
        <v>0</v>
      </c>
      <c r="DR30" s="46"/>
      <c r="DS30" s="46"/>
      <c r="DT30" s="46"/>
      <c r="DU30" s="46"/>
      <c r="DV30" s="46"/>
      <c r="DW30" s="46"/>
      <c r="DX30" s="46"/>
      <c r="DY30" s="38">
        <f t="shared" si="19"/>
        <v>0</v>
      </c>
      <c r="DZ30" s="110">
        <v>0</v>
      </c>
      <c r="EA30" s="116"/>
      <c r="EB30" s="46"/>
      <c r="EC30" s="46"/>
      <c r="ED30" s="46"/>
      <c r="EE30" s="46"/>
      <c r="EF30" s="46"/>
      <c r="EG30" s="117"/>
      <c r="EH30" s="114">
        <f t="shared" si="20"/>
        <v>0</v>
      </c>
      <c r="EI30" s="74">
        <f t="shared" si="21"/>
        <v>0</v>
      </c>
      <c r="EJ30" s="75">
        <f t="shared" si="22"/>
        <v>0</v>
      </c>
      <c r="EK30" s="75">
        <f t="shared" si="23"/>
        <v>0</v>
      </c>
      <c r="EL30" s="75">
        <f t="shared" si="24"/>
        <v>0</v>
      </c>
      <c r="EM30" s="75">
        <f t="shared" si="25"/>
        <v>0</v>
      </c>
      <c r="EN30" s="75">
        <f t="shared" si="26"/>
        <v>0</v>
      </c>
      <c r="EO30" s="76">
        <f t="shared" si="27"/>
        <v>0</v>
      </c>
      <c r="EP30" s="71">
        <f t="shared" si="28"/>
        <v>0</v>
      </c>
      <c r="EQ30" s="71">
        <f t="shared" si="29"/>
        <v>0</v>
      </c>
      <c r="ER30" s="71">
        <f t="shared" si="30"/>
        <v>0</v>
      </c>
      <c r="ES30" s="71">
        <f>IF(EH30=0,0,EL30*2)</f>
        <v>0</v>
      </c>
      <c r="ET30" s="71">
        <f t="shared" si="4"/>
        <v>0</v>
      </c>
      <c r="EU30" s="71">
        <f t="shared" si="5"/>
        <v>0</v>
      </c>
      <c r="EV30" s="71">
        <f t="shared" si="6"/>
        <v>0</v>
      </c>
      <c r="EW30" s="15" t="e">
        <f t="shared" si="7"/>
        <v>#DIV/0!</v>
      </c>
      <c r="EX30" s="15" t="e">
        <f t="shared" si="8"/>
        <v>#DIV/0!</v>
      </c>
    </row>
    <row r="31" spans="1:154" ht="18" customHeight="1" thickBot="1" x14ac:dyDescent="0.3">
      <c r="A31" s="260"/>
      <c r="B31" s="261"/>
      <c r="C31" s="150">
        <v>0</v>
      </c>
      <c r="D31" s="37">
        <v>0</v>
      </c>
      <c r="E31" s="130"/>
      <c r="F31" s="131"/>
      <c r="G31" s="131"/>
      <c r="H31" s="131"/>
      <c r="I31" s="131"/>
      <c r="J31" s="131"/>
      <c r="K31" s="132"/>
      <c r="L31" s="38">
        <f t="shared" si="0"/>
        <v>0</v>
      </c>
      <c r="M31" s="37">
        <v>0</v>
      </c>
      <c r="N31" s="130"/>
      <c r="O31" s="131"/>
      <c r="P31" s="131"/>
      <c r="Q31" s="131"/>
      <c r="R31" s="131"/>
      <c r="S31" s="131"/>
      <c r="T31" s="132"/>
      <c r="U31" s="38">
        <f t="shared" si="1"/>
        <v>0</v>
      </c>
      <c r="V31" s="37">
        <v>0</v>
      </c>
      <c r="W31" s="46"/>
      <c r="X31" s="46"/>
      <c r="Y31" s="46"/>
      <c r="Z31" s="46"/>
      <c r="AA31" s="46"/>
      <c r="AB31" s="46"/>
      <c r="AC31" s="46"/>
      <c r="AD31" s="38">
        <f t="shared" si="2"/>
        <v>0</v>
      </c>
      <c r="AE31" s="37">
        <v>0</v>
      </c>
      <c r="AF31" s="46"/>
      <c r="AG31" s="46"/>
      <c r="AH31" s="46"/>
      <c r="AI31" s="46"/>
      <c r="AJ31" s="46"/>
      <c r="AK31" s="46"/>
      <c r="AL31" s="46"/>
      <c r="AM31" s="38">
        <f t="shared" si="9"/>
        <v>0</v>
      </c>
      <c r="AN31" s="37">
        <v>0</v>
      </c>
      <c r="AO31" s="46"/>
      <c r="AP31" s="46"/>
      <c r="AQ31" s="46"/>
      <c r="AR31" s="46"/>
      <c r="AS31" s="46"/>
      <c r="AT31" s="46"/>
      <c r="AU31" s="46"/>
      <c r="AV31" s="38">
        <f t="shared" si="10"/>
        <v>0</v>
      </c>
      <c r="AW31" s="37">
        <v>0</v>
      </c>
      <c r="AX31" s="46"/>
      <c r="AY31" s="46"/>
      <c r="AZ31" s="46"/>
      <c r="BA31" s="46"/>
      <c r="BB31" s="46"/>
      <c r="BC31" s="46"/>
      <c r="BD31" s="46"/>
      <c r="BE31" s="38">
        <f t="shared" si="11"/>
        <v>0</v>
      </c>
      <c r="BF31" s="37">
        <v>0</v>
      </c>
      <c r="BG31" s="46"/>
      <c r="BH31" s="46"/>
      <c r="BI31" s="46"/>
      <c r="BJ31" s="46"/>
      <c r="BK31" s="46"/>
      <c r="BL31" s="46"/>
      <c r="BM31" s="46"/>
      <c r="BN31" s="38">
        <f t="shared" si="12"/>
        <v>0</v>
      </c>
      <c r="BO31" s="37">
        <v>0</v>
      </c>
      <c r="BP31" s="46"/>
      <c r="BQ31" s="46"/>
      <c r="BR31" s="46"/>
      <c r="BS31" s="46"/>
      <c r="BT31" s="46"/>
      <c r="BU31" s="46"/>
      <c r="BV31" s="46"/>
      <c r="BW31" s="38">
        <f t="shared" si="13"/>
        <v>0</v>
      </c>
      <c r="BX31" s="37">
        <v>0</v>
      </c>
      <c r="BY31" s="46"/>
      <c r="BZ31" s="46"/>
      <c r="CA31" s="46"/>
      <c r="CB31" s="46"/>
      <c r="CC31" s="46"/>
      <c r="CD31" s="46"/>
      <c r="CE31" s="46"/>
      <c r="CF31" s="38">
        <f t="shared" si="14"/>
        <v>0</v>
      </c>
      <c r="CG31" s="37">
        <v>0</v>
      </c>
      <c r="CH31" s="46"/>
      <c r="CI31" s="46"/>
      <c r="CJ31" s="46"/>
      <c r="CK31" s="46"/>
      <c r="CL31" s="46"/>
      <c r="CM31" s="46"/>
      <c r="CN31" s="46"/>
      <c r="CO31" s="38">
        <f t="shared" si="15"/>
        <v>0</v>
      </c>
      <c r="CP31" s="37">
        <v>0</v>
      </c>
      <c r="CQ31" s="46"/>
      <c r="CR31" s="46"/>
      <c r="CS31" s="46"/>
      <c r="CT31" s="46"/>
      <c r="CU31" s="46"/>
      <c r="CV31" s="46"/>
      <c r="CW31" s="46"/>
      <c r="CX31" s="38">
        <f t="shared" si="16"/>
        <v>0</v>
      </c>
      <c r="CY31" s="37">
        <v>0</v>
      </c>
      <c r="CZ31" s="46"/>
      <c r="DA31" s="46"/>
      <c r="DB31" s="46"/>
      <c r="DC31" s="46"/>
      <c r="DD31" s="46"/>
      <c r="DE31" s="46"/>
      <c r="DF31" s="46"/>
      <c r="DG31" s="38">
        <f t="shared" si="17"/>
        <v>0</v>
      </c>
      <c r="DH31" s="37">
        <v>0</v>
      </c>
      <c r="DI31" s="46"/>
      <c r="DJ31" s="46"/>
      <c r="DK31" s="46"/>
      <c r="DL31" s="46"/>
      <c r="DM31" s="46"/>
      <c r="DN31" s="46"/>
      <c r="DO31" s="46"/>
      <c r="DP31" s="38">
        <f t="shared" si="18"/>
        <v>0</v>
      </c>
      <c r="DQ31" s="37">
        <v>0</v>
      </c>
      <c r="DR31" s="46"/>
      <c r="DS31" s="46"/>
      <c r="DT31" s="46"/>
      <c r="DU31" s="46"/>
      <c r="DV31" s="46"/>
      <c r="DW31" s="46"/>
      <c r="DX31" s="46"/>
      <c r="DY31" s="38">
        <f t="shared" si="19"/>
        <v>0</v>
      </c>
      <c r="DZ31" s="110">
        <v>0</v>
      </c>
      <c r="EA31" s="116"/>
      <c r="EB31" s="46"/>
      <c r="EC31" s="46"/>
      <c r="ED31" s="46"/>
      <c r="EE31" s="46"/>
      <c r="EF31" s="46"/>
      <c r="EG31" s="117"/>
      <c r="EH31" s="114">
        <f t="shared" si="20"/>
        <v>0</v>
      </c>
      <c r="EI31" s="74">
        <f t="shared" si="21"/>
        <v>0</v>
      </c>
      <c r="EJ31" s="75">
        <f t="shared" si="22"/>
        <v>0</v>
      </c>
      <c r="EK31" s="75">
        <f t="shared" si="23"/>
        <v>0</v>
      </c>
      <c r="EL31" s="75">
        <f t="shared" si="24"/>
        <v>0</v>
      </c>
      <c r="EM31" s="75">
        <f t="shared" si="25"/>
        <v>0</v>
      </c>
      <c r="EN31" s="75">
        <f t="shared" si="26"/>
        <v>0</v>
      </c>
      <c r="EO31" s="76">
        <f t="shared" si="27"/>
        <v>0</v>
      </c>
      <c r="EP31" s="71">
        <f t="shared" si="28"/>
        <v>0</v>
      </c>
      <c r="EQ31" s="71">
        <f t="shared" si="29"/>
        <v>0</v>
      </c>
      <c r="ER31" s="71">
        <f t="shared" si="30"/>
        <v>0</v>
      </c>
      <c r="ES31" s="71">
        <f t="shared" si="31"/>
        <v>0</v>
      </c>
      <c r="ET31" s="71">
        <f t="shared" si="4"/>
        <v>0</v>
      </c>
      <c r="EU31" s="71">
        <f t="shared" si="5"/>
        <v>0</v>
      </c>
      <c r="EV31" s="71">
        <f t="shared" si="6"/>
        <v>0</v>
      </c>
      <c r="EW31" s="15" t="e">
        <f t="shared" si="7"/>
        <v>#DIV/0!</v>
      </c>
      <c r="EX31" s="15" t="e">
        <f t="shared" si="8"/>
        <v>#DIV/0!</v>
      </c>
    </row>
    <row r="32" spans="1:154" ht="18" customHeight="1" thickBot="1" x14ac:dyDescent="0.3">
      <c r="A32" s="260" t="s">
        <v>73</v>
      </c>
      <c r="B32" s="261"/>
      <c r="C32" s="150">
        <f t="shared" si="32"/>
        <v>0</v>
      </c>
      <c r="D32" s="37">
        <v>0</v>
      </c>
      <c r="E32" s="130"/>
      <c r="F32" s="131"/>
      <c r="G32" s="131"/>
      <c r="H32" s="131"/>
      <c r="I32" s="131"/>
      <c r="J32" s="131"/>
      <c r="K32" s="132"/>
      <c r="L32" s="38">
        <f t="shared" si="0"/>
        <v>0</v>
      </c>
      <c r="M32" s="37">
        <v>0</v>
      </c>
      <c r="N32" s="130"/>
      <c r="O32" s="131"/>
      <c r="P32" s="131"/>
      <c r="Q32" s="131"/>
      <c r="R32" s="131"/>
      <c r="S32" s="131"/>
      <c r="T32" s="132"/>
      <c r="U32" s="38">
        <f t="shared" si="1"/>
        <v>0</v>
      </c>
      <c r="V32" s="37">
        <v>0</v>
      </c>
      <c r="W32" s="46"/>
      <c r="X32" s="46"/>
      <c r="Y32" s="46"/>
      <c r="Z32" s="46"/>
      <c r="AA32" s="46"/>
      <c r="AB32" s="46"/>
      <c r="AC32" s="46"/>
      <c r="AD32" s="38">
        <f t="shared" si="2"/>
        <v>0</v>
      </c>
      <c r="AE32" s="37">
        <v>0</v>
      </c>
      <c r="AF32" s="46"/>
      <c r="AG32" s="46"/>
      <c r="AH32" s="46"/>
      <c r="AI32" s="46"/>
      <c r="AJ32" s="46"/>
      <c r="AK32" s="46"/>
      <c r="AL32" s="46"/>
      <c r="AM32" s="38">
        <f t="shared" si="9"/>
        <v>0</v>
      </c>
      <c r="AN32" s="37">
        <v>0</v>
      </c>
      <c r="AO32" s="46"/>
      <c r="AP32" s="46"/>
      <c r="AQ32" s="46"/>
      <c r="AR32" s="46"/>
      <c r="AS32" s="46"/>
      <c r="AT32" s="46"/>
      <c r="AU32" s="46"/>
      <c r="AV32" s="38">
        <f t="shared" si="10"/>
        <v>0</v>
      </c>
      <c r="AW32" s="37">
        <v>0</v>
      </c>
      <c r="AX32" s="46"/>
      <c r="AY32" s="46"/>
      <c r="AZ32" s="46"/>
      <c r="BA32" s="46"/>
      <c r="BB32" s="46"/>
      <c r="BC32" s="46"/>
      <c r="BD32" s="46"/>
      <c r="BE32" s="38">
        <f t="shared" si="11"/>
        <v>0</v>
      </c>
      <c r="BF32" s="37">
        <v>0</v>
      </c>
      <c r="BG32" s="46"/>
      <c r="BH32" s="46"/>
      <c r="BI32" s="46"/>
      <c r="BJ32" s="46"/>
      <c r="BK32" s="46"/>
      <c r="BL32" s="46"/>
      <c r="BM32" s="46"/>
      <c r="BN32" s="38">
        <f t="shared" si="12"/>
        <v>0</v>
      </c>
      <c r="BO32" s="37">
        <v>0</v>
      </c>
      <c r="BP32" s="46"/>
      <c r="BQ32" s="46"/>
      <c r="BR32" s="46"/>
      <c r="BS32" s="46"/>
      <c r="BT32" s="46"/>
      <c r="BU32" s="46"/>
      <c r="BV32" s="46"/>
      <c r="BW32" s="38">
        <f t="shared" si="13"/>
        <v>0</v>
      </c>
      <c r="BX32" s="37">
        <v>0</v>
      </c>
      <c r="BY32" s="46"/>
      <c r="BZ32" s="46"/>
      <c r="CA32" s="46"/>
      <c r="CB32" s="46"/>
      <c r="CC32" s="46"/>
      <c r="CD32" s="46"/>
      <c r="CE32" s="46"/>
      <c r="CF32" s="38">
        <f t="shared" si="14"/>
        <v>0</v>
      </c>
      <c r="CG32" s="37">
        <v>0</v>
      </c>
      <c r="CH32" s="46"/>
      <c r="CI32" s="46"/>
      <c r="CJ32" s="46"/>
      <c r="CK32" s="46"/>
      <c r="CL32" s="46"/>
      <c r="CM32" s="46"/>
      <c r="CN32" s="46"/>
      <c r="CO32" s="38">
        <f t="shared" si="15"/>
        <v>0</v>
      </c>
      <c r="CP32" s="37">
        <v>0</v>
      </c>
      <c r="CQ32" s="46"/>
      <c r="CR32" s="46"/>
      <c r="CS32" s="46"/>
      <c r="CT32" s="46"/>
      <c r="CU32" s="46"/>
      <c r="CV32" s="46"/>
      <c r="CW32" s="46"/>
      <c r="CX32" s="38">
        <f t="shared" si="16"/>
        <v>0</v>
      </c>
      <c r="CY32" s="37">
        <v>0</v>
      </c>
      <c r="CZ32" s="46"/>
      <c r="DA32" s="46"/>
      <c r="DB32" s="46"/>
      <c r="DC32" s="46"/>
      <c r="DD32" s="46"/>
      <c r="DE32" s="46"/>
      <c r="DF32" s="46"/>
      <c r="DG32" s="38">
        <f t="shared" si="17"/>
        <v>0</v>
      </c>
      <c r="DH32" s="37">
        <v>0</v>
      </c>
      <c r="DI32" s="46"/>
      <c r="DJ32" s="46"/>
      <c r="DK32" s="46"/>
      <c r="DL32" s="46"/>
      <c r="DM32" s="46"/>
      <c r="DN32" s="46"/>
      <c r="DO32" s="46"/>
      <c r="DP32" s="38">
        <f t="shared" si="18"/>
        <v>0</v>
      </c>
      <c r="DQ32" s="37">
        <v>0</v>
      </c>
      <c r="DR32" s="46"/>
      <c r="DS32" s="46"/>
      <c r="DT32" s="46"/>
      <c r="DU32" s="46"/>
      <c r="DV32" s="46"/>
      <c r="DW32" s="46"/>
      <c r="DX32" s="46"/>
      <c r="DY32" s="38">
        <f t="shared" si="19"/>
        <v>0</v>
      </c>
      <c r="DZ32" s="110">
        <v>0</v>
      </c>
      <c r="EA32" s="116"/>
      <c r="EB32" s="46"/>
      <c r="EC32" s="46"/>
      <c r="ED32" s="46"/>
      <c r="EE32" s="46"/>
      <c r="EF32" s="46"/>
      <c r="EG32" s="117"/>
      <c r="EH32" s="114">
        <f t="shared" si="20"/>
        <v>0</v>
      </c>
      <c r="EI32" s="74">
        <f t="shared" si="21"/>
        <v>0</v>
      </c>
      <c r="EJ32" s="75">
        <f t="shared" si="22"/>
        <v>0</v>
      </c>
      <c r="EK32" s="75">
        <f t="shared" si="23"/>
        <v>0</v>
      </c>
      <c r="EL32" s="75">
        <f t="shared" si="24"/>
        <v>0</v>
      </c>
      <c r="EM32" s="75">
        <f t="shared" si="25"/>
        <v>0</v>
      </c>
      <c r="EN32" s="75">
        <f t="shared" si="26"/>
        <v>0</v>
      </c>
      <c r="EO32" s="76">
        <f t="shared" si="27"/>
        <v>0</v>
      </c>
      <c r="EP32" s="71">
        <f t="shared" si="28"/>
        <v>0</v>
      </c>
      <c r="EQ32" s="71">
        <f t="shared" si="29"/>
        <v>0</v>
      </c>
      <c r="ER32" s="71">
        <f t="shared" si="30"/>
        <v>0</v>
      </c>
      <c r="ES32" s="71">
        <f t="shared" si="31"/>
        <v>0</v>
      </c>
      <c r="ET32" s="71">
        <f t="shared" si="4"/>
        <v>0</v>
      </c>
      <c r="EU32" s="71">
        <f t="shared" si="5"/>
        <v>0</v>
      </c>
      <c r="EV32" s="71">
        <f t="shared" si="6"/>
        <v>0</v>
      </c>
      <c r="EW32" s="15" t="e">
        <f t="shared" si="7"/>
        <v>#DIV/0!</v>
      </c>
      <c r="EX32" s="15" t="e">
        <f t="shared" si="8"/>
        <v>#DIV/0!</v>
      </c>
    </row>
    <row r="33" spans="1:154" ht="18" customHeight="1" thickBot="1" x14ac:dyDescent="0.3">
      <c r="A33" s="260"/>
      <c r="B33" s="261"/>
      <c r="C33" s="150">
        <v>0</v>
      </c>
      <c r="D33" s="37">
        <v>0</v>
      </c>
      <c r="E33" s="130"/>
      <c r="F33" s="131"/>
      <c r="G33" s="131"/>
      <c r="H33" s="131"/>
      <c r="I33" s="131"/>
      <c r="J33" s="131"/>
      <c r="K33" s="132"/>
      <c r="L33" s="38">
        <f t="shared" si="0"/>
        <v>0</v>
      </c>
      <c r="M33" s="37">
        <v>0</v>
      </c>
      <c r="N33" s="130"/>
      <c r="O33" s="131"/>
      <c r="P33" s="131"/>
      <c r="Q33" s="131"/>
      <c r="R33" s="131"/>
      <c r="S33" s="131"/>
      <c r="T33" s="132"/>
      <c r="U33" s="38">
        <f t="shared" si="1"/>
        <v>0</v>
      </c>
      <c r="V33" s="37">
        <v>0</v>
      </c>
      <c r="W33" s="46"/>
      <c r="X33" s="46"/>
      <c r="Y33" s="46"/>
      <c r="Z33" s="46"/>
      <c r="AA33" s="46"/>
      <c r="AB33" s="46"/>
      <c r="AC33" s="46"/>
      <c r="AD33" s="38">
        <f t="shared" si="2"/>
        <v>0</v>
      </c>
      <c r="AE33" s="37">
        <v>0</v>
      </c>
      <c r="AF33" s="46"/>
      <c r="AG33" s="46"/>
      <c r="AH33" s="46"/>
      <c r="AI33" s="46"/>
      <c r="AJ33" s="46"/>
      <c r="AK33" s="46"/>
      <c r="AL33" s="46"/>
      <c r="AM33" s="38">
        <f t="shared" si="9"/>
        <v>0</v>
      </c>
      <c r="AN33" s="37">
        <v>0</v>
      </c>
      <c r="AO33" s="46"/>
      <c r="AP33" s="46"/>
      <c r="AQ33" s="46"/>
      <c r="AR33" s="46"/>
      <c r="AS33" s="46"/>
      <c r="AT33" s="46"/>
      <c r="AU33" s="46"/>
      <c r="AV33" s="38">
        <f t="shared" si="10"/>
        <v>0</v>
      </c>
      <c r="AW33" s="37">
        <v>0</v>
      </c>
      <c r="AX33" s="46"/>
      <c r="AY33" s="46"/>
      <c r="AZ33" s="46"/>
      <c r="BA33" s="46"/>
      <c r="BB33" s="46"/>
      <c r="BC33" s="46"/>
      <c r="BD33" s="46"/>
      <c r="BE33" s="38">
        <f t="shared" si="11"/>
        <v>0</v>
      </c>
      <c r="BF33" s="37">
        <v>0</v>
      </c>
      <c r="BG33" s="46"/>
      <c r="BH33" s="46"/>
      <c r="BI33" s="46"/>
      <c r="BJ33" s="46"/>
      <c r="BK33" s="46"/>
      <c r="BL33" s="46"/>
      <c r="BM33" s="46"/>
      <c r="BN33" s="38">
        <f t="shared" si="12"/>
        <v>0</v>
      </c>
      <c r="BO33" s="37">
        <v>0</v>
      </c>
      <c r="BP33" s="46"/>
      <c r="BQ33" s="46"/>
      <c r="BR33" s="46"/>
      <c r="BS33" s="46"/>
      <c r="BT33" s="46"/>
      <c r="BU33" s="46"/>
      <c r="BV33" s="46"/>
      <c r="BW33" s="38">
        <f t="shared" si="13"/>
        <v>0</v>
      </c>
      <c r="BX33" s="37">
        <v>0</v>
      </c>
      <c r="BY33" s="46"/>
      <c r="BZ33" s="46"/>
      <c r="CA33" s="46"/>
      <c r="CB33" s="46"/>
      <c r="CC33" s="46"/>
      <c r="CD33" s="46"/>
      <c r="CE33" s="46"/>
      <c r="CF33" s="38">
        <f t="shared" si="14"/>
        <v>0</v>
      </c>
      <c r="CG33" s="37">
        <v>0</v>
      </c>
      <c r="CH33" s="46"/>
      <c r="CI33" s="46"/>
      <c r="CJ33" s="46"/>
      <c r="CK33" s="46"/>
      <c r="CL33" s="46"/>
      <c r="CM33" s="46"/>
      <c r="CN33" s="46"/>
      <c r="CO33" s="38">
        <f t="shared" si="15"/>
        <v>0</v>
      </c>
      <c r="CP33" s="37">
        <v>0</v>
      </c>
      <c r="CQ33" s="46"/>
      <c r="CR33" s="46"/>
      <c r="CS33" s="46"/>
      <c r="CT33" s="46"/>
      <c r="CU33" s="46"/>
      <c r="CV33" s="46"/>
      <c r="CW33" s="46"/>
      <c r="CX33" s="38">
        <f t="shared" si="16"/>
        <v>0</v>
      </c>
      <c r="CY33" s="37">
        <v>0</v>
      </c>
      <c r="CZ33" s="46"/>
      <c r="DA33" s="46"/>
      <c r="DB33" s="46"/>
      <c r="DC33" s="46"/>
      <c r="DD33" s="46"/>
      <c r="DE33" s="46"/>
      <c r="DF33" s="46"/>
      <c r="DG33" s="38">
        <f t="shared" si="17"/>
        <v>0</v>
      </c>
      <c r="DH33" s="37">
        <v>0</v>
      </c>
      <c r="DI33" s="46"/>
      <c r="DJ33" s="46"/>
      <c r="DK33" s="46"/>
      <c r="DL33" s="46"/>
      <c r="DM33" s="46"/>
      <c r="DN33" s="46"/>
      <c r="DO33" s="46"/>
      <c r="DP33" s="38">
        <f t="shared" si="18"/>
        <v>0</v>
      </c>
      <c r="DQ33" s="37">
        <v>0</v>
      </c>
      <c r="DR33" s="46"/>
      <c r="DS33" s="46"/>
      <c r="DT33" s="46"/>
      <c r="DU33" s="46"/>
      <c r="DV33" s="46"/>
      <c r="DW33" s="46"/>
      <c r="DX33" s="46"/>
      <c r="DY33" s="38">
        <f t="shared" si="19"/>
        <v>0</v>
      </c>
      <c r="DZ33" s="110">
        <v>0</v>
      </c>
      <c r="EA33" s="116"/>
      <c r="EB33" s="46"/>
      <c r="EC33" s="46"/>
      <c r="ED33" s="46"/>
      <c r="EE33" s="46"/>
      <c r="EF33" s="46"/>
      <c r="EG33" s="117"/>
      <c r="EH33" s="114">
        <f t="shared" si="20"/>
        <v>0</v>
      </c>
      <c r="EI33" s="74">
        <f t="shared" si="21"/>
        <v>0</v>
      </c>
      <c r="EJ33" s="75">
        <f t="shared" si="22"/>
        <v>0</v>
      </c>
      <c r="EK33" s="75">
        <f t="shared" si="23"/>
        <v>0</v>
      </c>
      <c r="EL33" s="75">
        <f t="shared" si="24"/>
        <v>0</v>
      </c>
      <c r="EM33" s="75">
        <f t="shared" si="25"/>
        <v>0</v>
      </c>
      <c r="EN33" s="75">
        <f t="shared" si="26"/>
        <v>0</v>
      </c>
      <c r="EO33" s="76">
        <f t="shared" si="27"/>
        <v>0</v>
      </c>
      <c r="EP33" s="71">
        <f t="shared" si="28"/>
        <v>0</v>
      </c>
      <c r="EQ33" s="71">
        <f t="shared" si="29"/>
        <v>0</v>
      </c>
      <c r="ER33" s="71">
        <f t="shared" si="30"/>
        <v>0</v>
      </c>
      <c r="ES33" s="71">
        <f t="shared" si="31"/>
        <v>0</v>
      </c>
      <c r="ET33" s="71">
        <f t="shared" si="4"/>
        <v>0</v>
      </c>
      <c r="EU33" s="71">
        <f t="shared" si="5"/>
        <v>0</v>
      </c>
      <c r="EV33" s="71">
        <f t="shared" si="6"/>
        <v>0</v>
      </c>
      <c r="EW33" s="15" t="e">
        <f t="shared" si="7"/>
        <v>#DIV/0!</v>
      </c>
      <c r="EX33" s="15" t="e">
        <f t="shared" si="8"/>
        <v>#DIV/0!</v>
      </c>
    </row>
    <row r="34" spans="1:154" ht="18" customHeight="1" thickBot="1" x14ac:dyDescent="0.3">
      <c r="A34" s="260" t="s">
        <v>74</v>
      </c>
      <c r="B34" s="261"/>
      <c r="C34" s="150">
        <f t="shared" si="32"/>
        <v>0</v>
      </c>
      <c r="D34" s="37">
        <v>0</v>
      </c>
      <c r="E34" s="130"/>
      <c r="F34" s="131"/>
      <c r="G34" s="131"/>
      <c r="H34" s="131"/>
      <c r="I34" s="131"/>
      <c r="J34" s="131"/>
      <c r="K34" s="132"/>
      <c r="L34" s="38">
        <f t="shared" si="0"/>
        <v>0</v>
      </c>
      <c r="M34" s="37">
        <v>0</v>
      </c>
      <c r="N34" s="130"/>
      <c r="O34" s="131"/>
      <c r="P34" s="131"/>
      <c r="Q34" s="131"/>
      <c r="R34" s="131"/>
      <c r="S34" s="131"/>
      <c r="T34" s="132"/>
      <c r="U34" s="38">
        <f t="shared" si="1"/>
        <v>0</v>
      </c>
      <c r="V34" s="37">
        <v>0</v>
      </c>
      <c r="W34" s="46"/>
      <c r="X34" s="46"/>
      <c r="Y34" s="46"/>
      <c r="Z34" s="46"/>
      <c r="AA34" s="46"/>
      <c r="AB34" s="46"/>
      <c r="AC34" s="46"/>
      <c r="AD34" s="38">
        <f t="shared" si="2"/>
        <v>0</v>
      </c>
      <c r="AE34" s="37">
        <v>0</v>
      </c>
      <c r="AF34" s="46"/>
      <c r="AG34" s="46"/>
      <c r="AH34" s="46"/>
      <c r="AI34" s="46"/>
      <c r="AJ34" s="46"/>
      <c r="AK34" s="46"/>
      <c r="AL34" s="46"/>
      <c r="AM34" s="38">
        <f t="shared" si="9"/>
        <v>0</v>
      </c>
      <c r="AN34" s="37">
        <v>0</v>
      </c>
      <c r="AO34" s="46"/>
      <c r="AP34" s="46"/>
      <c r="AQ34" s="46"/>
      <c r="AR34" s="46"/>
      <c r="AS34" s="46"/>
      <c r="AT34" s="46"/>
      <c r="AU34" s="46"/>
      <c r="AV34" s="38">
        <f t="shared" si="10"/>
        <v>0</v>
      </c>
      <c r="AW34" s="37">
        <v>0</v>
      </c>
      <c r="AX34" s="46"/>
      <c r="AY34" s="46"/>
      <c r="AZ34" s="46"/>
      <c r="BA34" s="46"/>
      <c r="BB34" s="46"/>
      <c r="BC34" s="46"/>
      <c r="BD34" s="46"/>
      <c r="BE34" s="38">
        <f t="shared" si="11"/>
        <v>0</v>
      </c>
      <c r="BF34" s="37">
        <v>0</v>
      </c>
      <c r="BG34" s="46"/>
      <c r="BH34" s="46"/>
      <c r="BI34" s="46"/>
      <c r="BJ34" s="46"/>
      <c r="BK34" s="46"/>
      <c r="BL34" s="46"/>
      <c r="BM34" s="46"/>
      <c r="BN34" s="38">
        <f t="shared" si="12"/>
        <v>0</v>
      </c>
      <c r="BO34" s="37">
        <v>0</v>
      </c>
      <c r="BP34" s="46"/>
      <c r="BQ34" s="46"/>
      <c r="BR34" s="46"/>
      <c r="BS34" s="46"/>
      <c r="BT34" s="46"/>
      <c r="BU34" s="46"/>
      <c r="BV34" s="46"/>
      <c r="BW34" s="38">
        <f t="shared" si="13"/>
        <v>0</v>
      </c>
      <c r="BX34" s="37">
        <v>0</v>
      </c>
      <c r="BY34" s="46"/>
      <c r="BZ34" s="46"/>
      <c r="CA34" s="46"/>
      <c r="CB34" s="46"/>
      <c r="CC34" s="46"/>
      <c r="CD34" s="46"/>
      <c r="CE34" s="46"/>
      <c r="CF34" s="38">
        <f t="shared" si="14"/>
        <v>0</v>
      </c>
      <c r="CG34" s="37">
        <v>0</v>
      </c>
      <c r="CH34" s="46"/>
      <c r="CI34" s="46"/>
      <c r="CJ34" s="46"/>
      <c r="CK34" s="46"/>
      <c r="CL34" s="46"/>
      <c r="CM34" s="46"/>
      <c r="CN34" s="46"/>
      <c r="CO34" s="38">
        <f t="shared" si="15"/>
        <v>0</v>
      </c>
      <c r="CP34" s="37">
        <v>0</v>
      </c>
      <c r="CQ34" s="46"/>
      <c r="CR34" s="46"/>
      <c r="CS34" s="46"/>
      <c r="CT34" s="46"/>
      <c r="CU34" s="46"/>
      <c r="CV34" s="46"/>
      <c r="CW34" s="46"/>
      <c r="CX34" s="38">
        <f t="shared" si="16"/>
        <v>0</v>
      </c>
      <c r="CY34" s="37">
        <v>0</v>
      </c>
      <c r="CZ34" s="46"/>
      <c r="DA34" s="46"/>
      <c r="DB34" s="46"/>
      <c r="DC34" s="46"/>
      <c r="DD34" s="46"/>
      <c r="DE34" s="46"/>
      <c r="DF34" s="46"/>
      <c r="DG34" s="38">
        <f t="shared" si="17"/>
        <v>0</v>
      </c>
      <c r="DH34" s="37">
        <v>0</v>
      </c>
      <c r="DI34" s="46"/>
      <c r="DJ34" s="46"/>
      <c r="DK34" s="46"/>
      <c r="DL34" s="46"/>
      <c r="DM34" s="46"/>
      <c r="DN34" s="46"/>
      <c r="DO34" s="46"/>
      <c r="DP34" s="38">
        <f t="shared" si="18"/>
        <v>0</v>
      </c>
      <c r="DQ34" s="37">
        <v>0</v>
      </c>
      <c r="DR34" s="46"/>
      <c r="DS34" s="46"/>
      <c r="DT34" s="46"/>
      <c r="DU34" s="46"/>
      <c r="DV34" s="46"/>
      <c r="DW34" s="46"/>
      <c r="DX34" s="46"/>
      <c r="DY34" s="38">
        <f t="shared" si="19"/>
        <v>0</v>
      </c>
      <c r="DZ34" s="110">
        <v>0</v>
      </c>
      <c r="EA34" s="116"/>
      <c r="EB34" s="46"/>
      <c r="EC34" s="46"/>
      <c r="ED34" s="46"/>
      <c r="EE34" s="46"/>
      <c r="EF34" s="46"/>
      <c r="EG34" s="117"/>
      <c r="EH34" s="114">
        <f t="shared" si="20"/>
        <v>0</v>
      </c>
      <c r="EI34" s="74">
        <f t="shared" si="21"/>
        <v>0</v>
      </c>
      <c r="EJ34" s="75">
        <f t="shared" si="22"/>
        <v>0</v>
      </c>
      <c r="EK34" s="75">
        <f t="shared" si="23"/>
        <v>0</v>
      </c>
      <c r="EL34" s="75">
        <f t="shared" si="24"/>
        <v>0</v>
      </c>
      <c r="EM34" s="75">
        <f t="shared" si="25"/>
        <v>0</v>
      </c>
      <c r="EN34" s="75">
        <f t="shared" si="26"/>
        <v>0</v>
      </c>
      <c r="EO34" s="76">
        <f t="shared" si="27"/>
        <v>0</v>
      </c>
      <c r="EP34" s="71">
        <f t="shared" si="28"/>
        <v>0</v>
      </c>
      <c r="EQ34" s="71">
        <f t="shared" si="29"/>
        <v>0</v>
      </c>
      <c r="ER34" s="71">
        <f t="shared" si="30"/>
        <v>0</v>
      </c>
      <c r="ES34" s="71">
        <f t="shared" si="31"/>
        <v>0</v>
      </c>
      <c r="ET34" s="71">
        <f t="shared" si="4"/>
        <v>0</v>
      </c>
      <c r="EU34" s="71">
        <f t="shared" si="5"/>
        <v>0</v>
      </c>
      <c r="EV34" s="71">
        <f t="shared" si="6"/>
        <v>0</v>
      </c>
      <c r="EW34" s="15" t="e">
        <f t="shared" si="7"/>
        <v>#DIV/0!</v>
      </c>
      <c r="EX34" s="15" t="e">
        <f t="shared" si="8"/>
        <v>#DIV/0!</v>
      </c>
    </row>
    <row r="35" spans="1:154" ht="18" customHeight="1" thickBot="1" x14ac:dyDescent="0.3">
      <c r="A35" s="260"/>
      <c r="B35" s="261"/>
      <c r="C35" s="150">
        <v>0</v>
      </c>
      <c r="D35" s="37">
        <v>0</v>
      </c>
      <c r="E35" s="130"/>
      <c r="F35" s="131"/>
      <c r="G35" s="131"/>
      <c r="H35" s="131"/>
      <c r="I35" s="131"/>
      <c r="J35" s="131"/>
      <c r="K35" s="132"/>
      <c r="L35" s="38">
        <f t="shared" si="0"/>
        <v>0</v>
      </c>
      <c r="M35" s="37">
        <v>0</v>
      </c>
      <c r="N35" s="130"/>
      <c r="O35" s="131"/>
      <c r="P35" s="131"/>
      <c r="Q35" s="131"/>
      <c r="R35" s="131"/>
      <c r="S35" s="131"/>
      <c r="T35" s="132"/>
      <c r="U35" s="38">
        <f t="shared" si="1"/>
        <v>0</v>
      </c>
      <c r="V35" s="37">
        <v>0</v>
      </c>
      <c r="W35" s="46"/>
      <c r="X35" s="46"/>
      <c r="Y35" s="46"/>
      <c r="Z35" s="46"/>
      <c r="AA35" s="46"/>
      <c r="AB35" s="46"/>
      <c r="AC35" s="46"/>
      <c r="AD35" s="38">
        <f t="shared" si="2"/>
        <v>0</v>
      </c>
      <c r="AE35" s="37">
        <v>0</v>
      </c>
      <c r="AF35" s="46"/>
      <c r="AG35" s="46"/>
      <c r="AH35" s="46"/>
      <c r="AI35" s="46"/>
      <c r="AJ35" s="46"/>
      <c r="AK35" s="46"/>
      <c r="AL35" s="46"/>
      <c r="AM35" s="38">
        <f t="shared" si="9"/>
        <v>0</v>
      </c>
      <c r="AN35" s="37">
        <v>0</v>
      </c>
      <c r="AO35" s="46"/>
      <c r="AP35" s="46"/>
      <c r="AQ35" s="46"/>
      <c r="AR35" s="46"/>
      <c r="AS35" s="46"/>
      <c r="AT35" s="46"/>
      <c r="AU35" s="46"/>
      <c r="AV35" s="38">
        <f t="shared" si="10"/>
        <v>0</v>
      </c>
      <c r="AW35" s="37">
        <v>0</v>
      </c>
      <c r="AX35" s="46"/>
      <c r="AY35" s="46"/>
      <c r="AZ35" s="46"/>
      <c r="BA35" s="46"/>
      <c r="BB35" s="46"/>
      <c r="BC35" s="46"/>
      <c r="BD35" s="46"/>
      <c r="BE35" s="38">
        <f t="shared" si="11"/>
        <v>0</v>
      </c>
      <c r="BF35" s="37">
        <v>0</v>
      </c>
      <c r="BG35" s="46"/>
      <c r="BH35" s="46"/>
      <c r="BI35" s="46"/>
      <c r="BJ35" s="46"/>
      <c r="BK35" s="46"/>
      <c r="BL35" s="46"/>
      <c r="BM35" s="46"/>
      <c r="BN35" s="38">
        <f t="shared" si="12"/>
        <v>0</v>
      </c>
      <c r="BO35" s="37">
        <v>0</v>
      </c>
      <c r="BP35" s="46"/>
      <c r="BQ35" s="46"/>
      <c r="BR35" s="46"/>
      <c r="BS35" s="46"/>
      <c r="BT35" s="46"/>
      <c r="BU35" s="46"/>
      <c r="BV35" s="46"/>
      <c r="BW35" s="38">
        <f t="shared" si="13"/>
        <v>0</v>
      </c>
      <c r="BX35" s="37">
        <v>0</v>
      </c>
      <c r="BY35" s="46"/>
      <c r="BZ35" s="46"/>
      <c r="CA35" s="46"/>
      <c r="CB35" s="46"/>
      <c r="CC35" s="46"/>
      <c r="CD35" s="46"/>
      <c r="CE35" s="46"/>
      <c r="CF35" s="38">
        <f t="shared" si="14"/>
        <v>0</v>
      </c>
      <c r="CG35" s="37">
        <v>0</v>
      </c>
      <c r="CH35" s="46"/>
      <c r="CI35" s="46"/>
      <c r="CJ35" s="46"/>
      <c r="CK35" s="46"/>
      <c r="CL35" s="46"/>
      <c r="CM35" s="46"/>
      <c r="CN35" s="46"/>
      <c r="CO35" s="38">
        <f t="shared" si="15"/>
        <v>0</v>
      </c>
      <c r="CP35" s="37">
        <v>0</v>
      </c>
      <c r="CQ35" s="46"/>
      <c r="CR35" s="46"/>
      <c r="CS35" s="46"/>
      <c r="CT35" s="46"/>
      <c r="CU35" s="46"/>
      <c r="CV35" s="46"/>
      <c r="CW35" s="46"/>
      <c r="CX35" s="38">
        <f t="shared" si="16"/>
        <v>0</v>
      </c>
      <c r="CY35" s="37">
        <v>0</v>
      </c>
      <c r="CZ35" s="46"/>
      <c r="DA35" s="46"/>
      <c r="DB35" s="46"/>
      <c r="DC35" s="46"/>
      <c r="DD35" s="46"/>
      <c r="DE35" s="46"/>
      <c r="DF35" s="46"/>
      <c r="DG35" s="38">
        <f t="shared" si="17"/>
        <v>0</v>
      </c>
      <c r="DH35" s="37">
        <v>0</v>
      </c>
      <c r="DI35" s="46"/>
      <c r="DJ35" s="46"/>
      <c r="DK35" s="46"/>
      <c r="DL35" s="46"/>
      <c r="DM35" s="46"/>
      <c r="DN35" s="46"/>
      <c r="DO35" s="46"/>
      <c r="DP35" s="38">
        <f t="shared" si="18"/>
        <v>0</v>
      </c>
      <c r="DQ35" s="37">
        <v>0</v>
      </c>
      <c r="DR35" s="46"/>
      <c r="DS35" s="46"/>
      <c r="DT35" s="46"/>
      <c r="DU35" s="46"/>
      <c r="DV35" s="46"/>
      <c r="DW35" s="46"/>
      <c r="DX35" s="46"/>
      <c r="DY35" s="38">
        <f t="shared" si="19"/>
        <v>0</v>
      </c>
      <c r="DZ35" s="110">
        <v>0</v>
      </c>
      <c r="EA35" s="116"/>
      <c r="EB35" s="46"/>
      <c r="EC35" s="46"/>
      <c r="ED35" s="46"/>
      <c r="EE35" s="46"/>
      <c r="EF35" s="46"/>
      <c r="EG35" s="117"/>
      <c r="EH35" s="114">
        <f t="shared" si="20"/>
        <v>0</v>
      </c>
      <c r="EI35" s="74">
        <f t="shared" si="21"/>
        <v>0</v>
      </c>
      <c r="EJ35" s="75">
        <f t="shared" si="22"/>
        <v>0</v>
      </c>
      <c r="EK35" s="75">
        <f t="shared" si="23"/>
        <v>0</v>
      </c>
      <c r="EL35" s="75">
        <f t="shared" si="24"/>
        <v>0</v>
      </c>
      <c r="EM35" s="75">
        <f t="shared" si="25"/>
        <v>0</v>
      </c>
      <c r="EN35" s="75">
        <f t="shared" si="26"/>
        <v>0</v>
      </c>
      <c r="EO35" s="76">
        <f t="shared" si="27"/>
        <v>0</v>
      </c>
      <c r="EP35" s="71">
        <f t="shared" si="28"/>
        <v>0</v>
      </c>
      <c r="EQ35" s="71">
        <f t="shared" si="29"/>
        <v>0</v>
      </c>
      <c r="ER35" s="71">
        <f t="shared" si="30"/>
        <v>0</v>
      </c>
      <c r="ES35" s="71">
        <f t="shared" si="31"/>
        <v>0</v>
      </c>
      <c r="ET35" s="71">
        <f t="shared" si="4"/>
        <v>0</v>
      </c>
      <c r="EU35" s="71">
        <f t="shared" si="5"/>
        <v>0</v>
      </c>
      <c r="EV35" s="71">
        <f t="shared" si="6"/>
        <v>0</v>
      </c>
      <c r="EW35" s="15" t="e">
        <f t="shared" si="7"/>
        <v>#DIV/0!</v>
      </c>
      <c r="EX35" s="15" t="e">
        <f t="shared" si="8"/>
        <v>#DIV/0!</v>
      </c>
    </row>
    <row r="36" spans="1:154" ht="18" customHeight="1" thickBot="1" x14ac:dyDescent="0.3">
      <c r="A36" s="260" t="s">
        <v>75</v>
      </c>
      <c r="B36" s="261"/>
      <c r="C36" s="150">
        <f t="shared" si="32"/>
        <v>0</v>
      </c>
      <c r="D36" s="37">
        <v>0</v>
      </c>
      <c r="E36" s="130"/>
      <c r="F36" s="131"/>
      <c r="G36" s="131"/>
      <c r="H36" s="131"/>
      <c r="I36" s="131"/>
      <c r="J36" s="131"/>
      <c r="K36" s="132"/>
      <c r="L36" s="38">
        <f t="shared" si="0"/>
        <v>0</v>
      </c>
      <c r="M36" s="37">
        <v>0</v>
      </c>
      <c r="N36" s="130"/>
      <c r="O36" s="131"/>
      <c r="P36" s="131"/>
      <c r="Q36" s="131"/>
      <c r="R36" s="131"/>
      <c r="S36" s="131"/>
      <c r="T36" s="132"/>
      <c r="U36" s="38">
        <f t="shared" si="1"/>
        <v>0</v>
      </c>
      <c r="V36" s="37">
        <v>0</v>
      </c>
      <c r="W36" s="46"/>
      <c r="X36" s="46"/>
      <c r="Y36" s="46"/>
      <c r="Z36" s="46"/>
      <c r="AA36" s="46"/>
      <c r="AB36" s="46"/>
      <c r="AC36" s="46"/>
      <c r="AD36" s="38">
        <f t="shared" si="2"/>
        <v>0</v>
      </c>
      <c r="AE36" s="37">
        <v>0</v>
      </c>
      <c r="AF36" s="46"/>
      <c r="AG36" s="46"/>
      <c r="AH36" s="46"/>
      <c r="AI36" s="46"/>
      <c r="AJ36" s="46"/>
      <c r="AK36" s="46"/>
      <c r="AL36" s="46"/>
      <c r="AM36" s="38">
        <f t="shared" si="9"/>
        <v>0</v>
      </c>
      <c r="AN36" s="37">
        <v>0</v>
      </c>
      <c r="AO36" s="46"/>
      <c r="AP36" s="46"/>
      <c r="AQ36" s="46"/>
      <c r="AR36" s="46"/>
      <c r="AS36" s="46"/>
      <c r="AT36" s="46"/>
      <c r="AU36" s="46"/>
      <c r="AV36" s="38">
        <f t="shared" si="10"/>
        <v>0</v>
      </c>
      <c r="AW36" s="37">
        <v>0</v>
      </c>
      <c r="AX36" s="46"/>
      <c r="AY36" s="46"/>
      <c r="AZ36" s="46"/>
      <c r="BA36" s="46"/>
      <c r="BB36" s="46"/>
      <c r="BC36" s="46"/>
      <c r="BD36" s="46"/>
      <c r="BE36" s="38">
        <f t="shared" si="11"/>
        <v>0</v>
      </c>
      <c r="BF36" s="37">
        <v>0</v>
      </c>
      <c r="BG36" s="46"/>
      <c r="BH36" s="46"/>
      <c r="BI36" s="46"/>
      <c r="BJ36" s="46"/>
      <c r="BK36" s="46"/>
      <c r="BL36" s="46"/>
      <c r="BM36" s="46"/>
      <c r="BN36" s="38">
        <f t="shared" si="12"/>
        <v>0</v>
      </c>
      <c r="BO36" s="37">
        <v>0</v>
      </c>
      <c r="BP36" s="46"/>
      <c r="BQ36" s="46"/>
      <c r="BR36" s="46"/>
      <c r="BS36" s="46"/>
      <c r="BT36" s="46"/>
      <c r="BU36" s="46"/>
      <c r="BV36" s="46"/>
      <c r="BW36" s="38">
        <f t="shared" si="13"/>
        <v>0</v>
      </c>
      <c r="BX36" s="37">
        <v>0</v>
      </c>
      <c r="BY36" s="46"/>
      <c r="BZ36" s="46"/>
      <c r="CA36" s="46"/>
      <c r="CB36" s="46"/>
      <c r="CC36" s="46"/>
      <c r="CD36" s="46"/>
      <c r="CE36" s="46"/>
      <c r="CF36" s="38">
        <f t="shared" si="14"/>
        <v>0</v>
      </c>
      <c r="CG36" s="37">
        <v>0</v>
      </c>
      <c r="CH36" s="46"/>
      <c r="CI36" s="46"/>
      <c r="CJ36" s="46"/>
      <c r="CK36" s="46"/>
      <c r="CL36" s="46"/>
      <c r="CM36" s="46"/>
      <c r="CN36" s="46"/>
      <c r="CO36" s="38">
        <f t="shared" si="15"/>
        <v>0</v>
      </c>
      <c r="CP36" s="37">
        <v>0</v>
      </c>
      <c r="CQ36" s="46"/>
      <c r="CR36" s="46"/>
      <c r="CS36" s="46"/>
      <c r="CT36" s="46"/>
      <c r="CU36" s="46"/>
      <c r="CV36" s="46"/>
      <c r="CW36" s="46"/>
      <c r="CX36" s="38">
        <f t="shared" si="16"/>
        <v>0</v>
      </c>
      <c r="CY36" s="37">
        <v>0</v>
      </c>
      <c r="CZ36" s="46"/>
      <c r="DA36" s="46"/>
      <c r="DB36" s="46"/>
      <c r="DC36" s="46"/>
      <c r="DD36" s="46"/>
      <c r="DE36" s="46"/>
      <c r="DF36" s="46"/>
      <c r="DG36" s="38">
        <f t="shared" si="17"/>
        <v>0</v>
      </c>
      <c r="DH36" s="37">
        <v>0</v>
      </c>
      <c r="DI36" s="46"/>
      <c r="DJ36" s="46"/>
      <c r="DK36" s="46"/>
      <c r="DL36" s="46"/>
      <c r="DM36" s="46"/>
      <c r="DN36" s="46"/>
      <c r="DO36" s="46"/>
      <c r="DP36" s="38">
        <f t="shared" si="18"/>
        <v>0</v>
      </c>
      <c r="DQ36" s="37">
        <v>0</v>
      </c>
      <c r="DR36" s="46"/>
      <c r="DS36" s="46"/>
      <c r="DT36" s="46"/>
      <c r="DU36" s="46"/>
      <c r="DV36" s="46"/>
      <c r="DW36" s="46"/>
      <c r="DX36" s="46"/>
      <c r="DY36" s="38">
        <f t="shared" si="19"/>
        <v>0</v>
      </c>
      <c r="DZ36" s="110">
        <v>0</v>
      </c>
      <c r="EA36" s="116"/>
      <c r="EB36" s="46"/>
      <c r="EC36" s="46"/>
      <c r="ED36" s="46"/>
      <c r="EE36" s="46"/>
      <c r="EF36" s="46"/>
      <c r="EG36" s="117"/>
      <c r="EH36" s="114">
        <f t="shared" si="20"/>
        <v>0</v>
      </c>
      <c r="EI36" s="74">
        <f t="shared" si="21"/>
        <v>0</v>
      </c>
      <c r="EJ36" s="75">
        <f t="shared" si="22"/>
        <v>0</v>
      </c>
      <c r="EK36" s="75">
        <f t="shared" si="23"/>
        <v>0</v>
      </c>
      <c r="EL36" s="75">
        <f t="shared" si="24"/>
        <v>0</v>
      </c>
      <c r="EM36" s="75">
        <f t="shared" si="25"/>
        <v>0</v>
      </c>
      <c r="EN36" s="75">
        <f t="shared" si="26"/>
        <v>0</v>
      </c>
      <c r="EO36" s="76">
        <f t="shared" si="27"/>
        <v>0</v>
      </c>
      <c r="EP36" s="71">
        <f t="shared" si="28"/>
        <v>0</v>
      </c>
      <c r="EQ36" s="71">
        <f t="shared" si="29"/>
        <v>0</v>
      </c>
      <c r="ER36" s="71">
        <f t="shared" si="30"/>
        <v>0</v>
      </c>
      <c r="ES36" s="71">
        <f t="shared" si="31"/>
        <v>0</v>
      </c>
      <c r="ET36" s="71">
        <f t="shared" ref="ET36:ET62" si="33">IF($EH36=0,0,((I107/$D$2)+(R107/$M$2)+(AA107/$V$2)+(AJ107/$AE$2)+(AS107/$AN$2)+(BB107/$AW$2)+(BK107/$BF$2)+(BT107/$BO$2)+(CC107/$BX$2)+(CL107/$CG$2)+(CU107/$CP$2)+(DD107/$CY$2)+(DM107/$DH$2)+(DV107/$DQ$2)+(EE107/$DZ$2)))</f>
        <v>0</v>
      </c>
      <c r="EU36" s="71">
        <f t="shared" ref="EU36:EU62" si="34">IF($EH36=0,0,((J107/$D$2)+(S107/$M$2)+(AB107/$V$2)+(AK107/$AE$2)+(AT107/$AN$2)+(BC107/$AW$2)+(BL107/$BF$2)+(BU107/$BO$2)+(CD107/$BX$2)+(CM107/$CG$2)+(CV107/$CP$2)+(DE107/$CY$2)+(DN107/$DH$2)+(DW107/$DQ$2)+(EF107/$DZ$2)))</f>
        <v>0</v>
      </c>
      <c r="EV36" s="71">
        <f t="shared" ref="EV36:EV62" si="35">IF($EH36=0,0,((K107/$D$2)+(T107/$M$2)+(AC107/$V$2)+(AL107/$AE$2)+(AU107/$AN$2)+(BD107/$AW$2)+(BM107/$BF$2)+(BV107/$BO$2)+(CE107/$BX$2)+(CN107/$CG$2)+(CW107/$CP$2)+(DF107/$CY$2)+(DO107/$DH$2)+(DX107/$DQ$2)+(EG107/$DZ$2)))</f>
        <v>0</v>
      </c>
      <c r="EW36" s="15" t="e">
        <f t="shared" ref="EW36:EW62" si="36">SUM(EP36:EV36)/EH36*EH36</f>
        <v>#DIV/0!</v>
      </c>
      <c r="EX36" s="15" t="e">
        <f t="shared" ref="EX36:EX62" si="37">SUM(EP36:EV36)/EH36</f>
        <v>#DIV/0!</v>
      </c>
    </row>
    <row r="37" spans="1:154" ht="18" customHeight="1" thickBot="1" x14ac:dyDescent="0.3">
      <c r="A37" s="260"/>
      <c r="B37" s="261"/>
      <c r="C37" s="150">
        <v>0</v>
      </c>
      <c r="D37" s="37">
        <v>0</v>
      </c>
      <c r="E37" s="130"/>
      <c r="F37" s="131"/>
      <c r="G37" s="131"/>
      <c r="H37" s="131"/>
      <c r="I37" s="131"/>
      <c r="J37" s="131"/>
      <c r="K37" s="132"/>
      <c r="L37" s="38">
        <f t="shared" si="0"/>
        <v>0</v>
      </c>
      <c r="M37" s="37">
        <v>0</v>
      </c>
      <c r="N37" s="130"/>
      <c r="O37" s="131"/>
      <c r="P37" s="131"/>
      <c r="Q37" s="131"/>
      <c r="R37" s="131"/>
      <c r="S37" s="131"/>
      <c r="T37" s="132"/>
      <c r="U37" s="38">
        <f t="shared" si="1"/>
        <v>0</v>
      </c>
      <c r="V37" s="37">
        <v>0</v>
      </c>
      <c r="W37" s="46"/>
      <c r="X37" s="46"/>
      <c r="Y37" s="46"/>
      <c r="Z37" s="46"/>
      <c r="AA37" s="46"/>
      <c r="AB37" s="46"/>
      <c r="AC37" s="46"/>
      <c r="AD37" s="38">
        <f t="shared" si="2"/>
        <v>0</v>
      </c>
      <c r="AE37" s="37">
        <v>0</v>
      </c>
      <c r="AF37" s="46"/>
      <c r="AG37" s="46"/>
      <c r="AH37" s="46"/>
      <c r="AI37" s="46"/>
      <c r="AJ37" s="46"/>
      <c r="AK37" s="46"/>
      <c r="AL37" s="46"/>
      <c r="AM37" s="38">
        <f t="shared" si="9"/>
        <v>0</v>
      </c>
      <c r="AN37" s="37">
        <v>0</v>
      </c>
      <c r="AO37" s="46"/>
      <c r="AP37" s="46"/>
      <c r="AQ37" s="46"/>
      <c r="AR37" s="46"/>
      <c r="AS37" s="46"/>
      <c r="AT37" s="46"/>
      <c r="AU37" s="46"/>
      <c r="AV37" s="38">
        <f t="shared" si="10"/>
        <v>0</v>
      </c>
      <c r="AW37" s="37">
        <v>0</v>
      </c>
      <c r="AX37" s="46"/>
      <c r="AY37" s="46"/>
      <c r="AZ37" s="46"/>
      <c r="BA37" s="46"/>
      <c r="BB37" s="46"/>
      <c r="BC37" s="46"/>
      <c r="BD37" s="46"/>
      <c r="BE37" s="38">
        <f t="shared" si="11"/>
        <v>0</v>
      </c>
      <c r="BF37" s="37">
        <v>0</v>
      </c>
      <c r="BG37" s="46"/>
      <c r="BH37" s="46"/>
      <c r="BI37" s="46"/>
      <c r="BJ37" s="46"/>
      <c r="BK37" s="46"/>
      <c r="BL37" s="46"/>
      <c r="BM37" s="46"/>
      <c r="BN37" s="38">
        <f t="shared" si="12"/>
        <v>0</v>
      </c>
      <c r="BO37" s="37">
        <v>0</v>
      </c>
      <c r="BP37" s="46"/>
      <c r="BQ37" s="46"/>
      <c r="BR37" s="46"/>
      <c r="BS37" s="46"/>
      <c r="BT37" s="46"/>
      <c r="BU37" s="46"/>
      <c r="BV37" s="46"/>
      <c r="BW37" s="38">
        <f t="shared" si="13"/>
        <v>0</v>
      </c>
      <c r="BX37" s="37">
        <v>0</v>
      </c>
      <c r="BY37" s="46"/>
      <c r="BZ37" s="46"/>
      <c r="CA37" s="46"/>
      <c r="CB37" s="46"/>
      <c r="CC37" s="46"/>
      <c r="CD37" s="46"/>
      <c r="CE37" s="46"/>
      <c r="CF37" s="38">
        <f t="shared" si="14"/>
        <v>0</v>
      </c>
      <c r="CG37" s="37">
        <v>0</v>
      </c>
      <c r="CH37" s="46"/>
      <c r="CI37" s="46"/>
      <c r="CJ37" s="46"/>
      <c r="CK37" s="46"/>
      <c r="CL37" s="46"/>
      <c r="CM37" s="46"/>
      <c r="CN37" s="46"/>
      <c r="CO37" s="38">
        <f t="shared" si="15"/>
        <v>0</v>
      </c>
      <c r="CP37" s="37">
        <v>0</v>
      </c>
      <c r="CQ37" s="46"/>
      <c r="CR37" s="46"/>
      <c r="CS37" s="46"/>
      <c r="CT37" s="46"/>
      <c r="CU37" s="46"/>
      <c r="CV37" s="46"/>
      <c r="CW37" s="46"/>
      <c r="CX37" s="38">
        <f t="shared" si="16"/>
        <v>0</v>
      </c>
      <c r="CY37" s="37">
        <v>0</v>
      </c>
      <c r="CZ37" s="46"/>
      <c r="DA37" s="46"/>
      <c r="DB37" s="46"/>
      <c r="DC37" s="46"/>
      <c r="DD37" s="46"/>
      <c r="DE37" s="46"/>
      <c r="DF37" s="46"/>
      <c r="DG37" s="38">
        <f t="shared" si="17"/>
        <v>0</v>
      </c>
      <c r="DH37" s="37">
        <v>0</v>
      </c>
      <c r="DI37" s="46"/>
      <c r="DJ37" s="46"/>
      <c r="DK37" s="46"/>
      <c r="DL37" s="46"/>
      <c r="DM37" s="46"/>
      <c r="DN37" s="46"/>
      <c r="DO37" s="46"/>
      <c r="DP37" s="38">
        <f t="shared" si="18"/>
        <v>0</v>
      </c>
      <c r="DQ37" s="37">
        <v>0</v>
      </c>
      <c r="DR37" s="46"/>
      <c r="DS37" s="46"/>
      <c r="DT37" s="46"/>
      <c r="DU37" s="46"/>
      <c r="DV37" s="46"/>
      <c r="DW37" s="46"/>
      <c r="DX37" s="46"/>
      <c r="DY37" s="38">
        <f t="shared" si="19"/>
        <v>0</v>
      </c>
      <c r="DZ37" s="110">
        <v>0</v>
      </c>
      <c r="EA37" s="116"/>
      <c r="EB37" s="46"/>
      <c r="EC37" s="46"/>
      <c r="ED37" s="46"/>
      <c r="EE37" s="46"/>
      <c r="EF37" s="46"/>
      <c r="EG37" s="117"/>
      <c r="EH37" s="114">
        <f t="shared" si="20"/>
        <v>0</v>
      </c>
      <c r="EI37" s="74">
        <f t="shared" si="21"/>
        <v>0</v>
      </c>
      <c r="EJ37" s="75">
        <f t="shared" si="22"/>
        <v>0</v>
      </c>
      <c r="EK37" s="75">
        <f t="shared" si="23"/>
        <v>0</v>
      </c>
      <c r="EL37" s="75">
        <f t="shared" si="24"/>
        <v>0</v>
      </c>
      <c r="EM37" s="75">
        <f t="shared" si="25"/>
        <v>0</v>
      </c>
      <c r="EN37" s="75">
        <f t="shared" si="26"/>
        <v>0</v>
      </c>
      <c r="EO37" s="76">
        <f t="shared" si="27"/>
        <v>0</v>
      </c>
      <c r="EP37" s="71">
        <f t="shared" si="28"/>
        <v>0</v>
      </c>
      <c r="EQ37" s="71">
        <f t="shared" si="29"/>
        <v>0</v>
      </c>
      <c r="ER37" s="71">
        <f t="shared" si="30"/>
        <v>0</v>
      </c>
      <c r="ES37" s="71">
        <f t="shared" si="31"/>
        <v>0</v>
      </c>
      <c r="ET37" s="71">
        <f t="shared" si="33"/>
        <v>0</v>
      </c>
      <c r="EU37" s="71">
        <f t="shared" si="34"/>
        <v>0</v>
      </c>
      <c r="EV37" s="71">
        <f t="shared" si="35"/>
        <v>0</v>
      </c>
      <c r="EW37" s="15" t="e">
        <f t="shared" si="36"/>
        <v>#DIV/0!</v>
      </c>
      <c r="EX37" s="15" t="e">
        <f t="shared" si="37"/>
        <v>#DIV/0!</v>
      </c>
    </row>
    <row r="38" spans="1:154" ht="18" customHeight="1" thickBot="1" x14ac:dyDescent="0.3">
      <c r="A38" s="260" t="s">
        <v>76</v>
      </c>
      <c r="B38" s="261"/>
      <c r="C38" s="150">
        <f t="shared" si="32"/>
        <v>0</v>
      </c>
      <c r="D38" s="37">
        <v>0</v>
      </c>
      <c r="E38" s="130"/>
      <c r="F38" s="131"/>
      <c r="G38" s="131"/>
      <c r="H38" s="131"/>
      <c r="I38" s="131"/>
      <c r="J38" s="131"/>
      <c r="K38" s="132"/>
      <c r="L38" s="38">
        <f t="shared" si="0"/>
        <v>0</v>
      </c>
      <c r="M38" s="37">
        <v>0</v>
      </c>
      <c r="N38" s="130"/>
      <c r="O38" s="131"/>
      <c r="P38" s="131"/>
      <c r="Q38" s="131"/>
      <c r="R38" s="131"/>
      <c r="S38" s="131"/>
      <c r="T38" s="132"/>
      <c r="U38" s="38">
        <f t="shared" si="1"/>
        <v>0</v>
      </c>
      <c r="V38" s="37">
        <v>0</v>
      </c>
      <c r="W38" s="46"/>
      <c r="X38" s="46"/>
      <c r="Y38" s="46"/>
      <c r="Z38" s="46"/>
      <c r="AA38" s="46"/>
      <c r="AB38" s="46"/>
      <c r="AC38" s="46"/>
      <c r="AD38" s="38">
        <f t="shared" si="2"/>
        <v>0</v>
      </c>
      <c r="AE38" s="37">
        <v>0</v>
      </c>
      <c r="AF38" s="46"/>
      <c r="AG38" s="46"/>
      <c r="AH38" s="46"/>
      <c r="AI38" s="46"/>
      <c r="AJ38" s="46"/>
      <c r="AK38" s="46"/>
      <c r="AL38" s="46"/>
      <c r="AM38" s="38">
        <f t="shared" si="9"/>
        <v>0</v>
      </c>
      <c r="AN38" s="37">
        <v>0</v>
      </c>
      <c r="AO38" s="46"/>
      <c r="AP38" s="46"/>
      <c r="AQ38" s="46"/>
      <c r="AR38" s="46"/>
      <c r="AS38" s="46"/>
      <c r="AT38" s="46"/>
      <c r="AU38" s="46"/>
      <c r="AV38" s="38">
        <f t="shared" si="10"/>
        <v>0</v>
      </c>
      <c r="AW38" s="37">
        <v>0</v>
      </c>
      <c r="AX38" s="46"/>
      <c r="AY38" s="46"/>
      <c r="AZ38" s="46"/>
      <c r="BA38" s="46"/>
      <c r="BB38" s="46"/>
      <c r="BC38" s="46"/>
      <c r="BD38" s="46"/>
      <c r="BE38" s="38">
        <f t="shared" si="11"/>
        <v>0</v>
      </c>
      <c r="BF38" s="37">
        <v>0</v>
      </c>
      <c r="BG38" s="46"/>
      <c r="BH38" s="46"/>
      <c r="BI38" s="46"/>
      <c r="BJ38" s="46"/>
      <c r="BK38" s="46"/>
      <c r="BL38" s="46"/>
      <c r="BM38" s="46"/>
      <c r="BN38" s="38">
        <f t="shared" si="12"/>
        <v>0</v>
      </c>
      <c r="BO38" s="37">
        <v>0</v>
      </c>
      <c r="BP38" s="46"/>
      <c r="BQ38" s="46"/>
      <c r="BR38" s="46"/>
      <c r="BS38" s="46"/>
      <c r="BT38" s="46"/>
      <c r="BU38" s="46"/>
      <c r="BV38" s="46"/>
      <c r="BW38" s="38">
        <f t="shared" si="13"/>
        <v>0</v>
      </c>
      <c r="BX38" s="37">
        <v>0</v>
      </c>
      <c r="BY38" s="46"/>
      <c r="BZ38" s="46"/>
      <c r="CA38" s="46"/>
      <c r="CB38" s="46"/>
      <c r="CC38" s="46"/>
      <c r="CD38" s="46"/>
      <c r="CE38" s="46"/>
      <c r="CF38" s="38">
        <f t="shared" si="14"/>
        <v>0</v>
      </c>
      <c r="CG38" s="37">
        <v>0</v>
      </c>
      <c r="CH38" s="46"/>
      <c r="CI38" s="46"/>
      <c r="CJ38" s="46"/>
      <c r="CK38" s="46"/>
      <c r="CL38" s="46"/>
      <c r="CM38" s="46"/>
      <c r="CN38" s="46"/>
      <c r="CO38" s="38">
        <f t="shared" si="15"/>
        <v>0</v>
      </c>
      <c r="CP38" s="37">
        <v>0</v>
      </c>
      <c r="CQ38" s="46"/>
      <c r="CR38" s="46"/>
      <c r="CS38" s="46"/>
      <c r="CT38" s="46"/>
      <c r="CU38" s="46"/>
      <c r="CV38" s="46"/>
      <c r="CW38" s="46"/>
      <c r="CX38" s="38">
        <f t="shared" si="16"/>
        <v>0</v>
      </c>
      <c r="CY38" s="37">
        <v>0</v>
      </c>
      <c r="CZ38" s="46"/>
      <c r="DA38" s="46"/>
      <c r="DB38" s="46"/>
      <c r="DC38" s="46"/>
      <c r="DD38" s="46"/>
      <c r="DE38" s="46"/>
      <c r="DF38" s="46"/>
      <c r="DG38" s="38">
        <f t="shared" si="17"/>
        <v>0</v>
      </c>
      <c r="DH38" s="37">
        <v>0</v>
      </c>
      <c r="DI38" s="46"/>
      <c r="DJ38" s="46"/>
      <c r="DK38" s="46"/>
      <c r="DL38" s="46"/>
      <c r="DM38" s="46"/>
      <c r="DN38" s="46"/>
      <c r="DO38" s="46"/>
      <c r="DP38" s="38">
        <f t="shared" si="18"/>
        <v>0</v>
      </c>
      <c r="DQ38" s="37">
        <v>0</v>
      </c>
      <c r="DR38" s="46"/>
      <c r="DS38" s="46"/>
      <c r="DT38" s="46"/>
      <c r="DU38" s="46"/>
      <c r="DV38" s="46"/>
      <c r="DW38" s="46"/>
      <c r="DX38" s="46"/>
      <c r="DY38" s="38">
        <f t="shared" si="19"/>
        <v>0</v>
      </c>
      <c r="DZ38" s="110">
        <v>0</v>
      </c>
      <c r="EA38" s="116"/>
      <c r="EB38" s="46"/>
      <c r="EC38" s="46"/>
      <c r="ED38" s="46"/>
      <c r="EE38" s="46"/>
      <c r="EF38" s="46"/>
      <c r="EG38" s="117"/>
      <c r="EH38" s="114">
        <f t="shared" si="20"/>
        <v>0</v>
      </c>
      <c r="EI38" s="74">
        <f t="shared" si="21"/>
        <v>0</v>
      </c>
      <c r="EJ38" s="75">
        <f t="shared" si="22"/>
        <v>0</v>
      </c>
      <c r="EK38" s="75">
        <f t="shared" si="23"/>
        <v>0</v>
      </c>
      <c r="EL38" s="75">
        <f t="shared" si="24"/>
        <v>0</v>
      </c>
      <c r="EM38" s="75">
        <f t="shared" si="25"/>
        <v>0</v>
      </c>
      <c r="EN38" s="75">
        <f t="shared" si="26"/>
        <v>0</v>
      </c>
      <c r="EO38" s="76">
        <f t="shared" si="27"/>
        <v>0</v>
      </c>
      <c r="EP38" s="71">
        <f t="shared" si="28"/>
        <v>0</v>
      </c>
      <c r="EQ38" s="71">
        <f t="shared" si="29"/>
        <v>0</v>
      </c>
      <c r="ER38" s="71">
        <f t="shared" si="30"/>
        <v>0</v>
      </c>
      <c r="ES38" s="71">
        <f t="shared" si="31"/>
        <v>0</v>
      </c>
      <c r="ET38" s="71">
        <f t="shared" si="33"/>
        <v>0</v>
      </c>
      <c r="EU38" s="71">
        <f t="shared" si="34"/>
        <v>0</v>
      </c>
      <c r="EV38" s="71">
        <f t="shared" si="35"/>
        <v>0</v>
      </c>
      <c r="EW38" s="15" t="e">
        <f t="shared" si="36"/>
        <v>#DIV/0!</v>
      </c>
      <c r="EX38" s="15" t="e">
        <f t="shared" si="37"/>
        <v>#DIV/0!</v>
      </c>
    </row>
    <row r="39" spans="1:154" ht="18" customHeight="1" thickBot="1" x14ac:dyDescent="0.3">
      <c r="A39" s="260"/>
      <c r="B39" s="261"/>
      <c r="C39" s="150">
        <v>0</v>
      </c>
      <c r="D39" s="37">
        <v>0</v>
      </c>
      <c r="E39" s="130"/>
      <c r="F39" s="131"/>
      <c r="G39" s="131"/>
      <c r="H39" s="131"/>
      <c r="I39" s="131"/>
      <c r="J39" s="131"/>
      <c r="K39" s="132"/>
      <c r="L39" s="38">
        <f t="shared" si="0"/>
        <v>0</v>
      </c>
      <c r="M39" s="37">
        <v>0</v>
      </c>
      <c r="N39" s="130"/>
      <c r="O39" s="131"/>
      <c r="P39" s="131"/>
      <c r="Q39" s="131"/>
      <c r="R39" s="131"/>
      <c r="S39" s="131"/>
      <c r="T39" s="132"/>
      <c r="U39" s="38">
        <f t="shared" si="1"/>
        <v>0</v>
      </c>
      <c r="V39" s="37">
        <v>0</v>
      </c>
      <c r="W39" s="46"/>
      <c r="X39" s="46"/>
      <c r="Y39" s="46"/>
      <c r="Z39" s="46"/>
      <c r="AA39" s="46"/>
      <c r="AB39" s="46"/>
      <c r="AC39" s="46"/>
      <c r="AD39" s="38">
        <f t="shared" si="2"/>
        <v>0</v>
      </c>
      <c r="AE39" s="37">
        <v>0</v>
      </c>
      <c r="AF39" s="46"/>
      <c r="AG39" s="46"/>
      <c r="AH39" s="46"/>
      <c r="AI39" s="46"/>
      <c r="AJ39" s="46"/>
      <c r="AK39" s="46"/>
      <c r="AL39" s="46"/>
      <c r="AM39" s="38">
        <f t="shared" si="9"/>
        <v>0</v>
      </c>
      <c r="AN39" s="37">
        <v>0</v>
      </c>
      <c r="AO39" s="46"/>
      <c r="AP39" s="46"/>
      <c r="AQ39" s="46"/>
      <c r="AR39" s="46"/>
      <c r="AS39" s="46"/>
      <c r="AT39" s="46"/>
      <c r="AU39" s="46"/>
      <c r="AV39" s="38">
        <f t="shared" si="10"/>
        <v>0</v>
      </c>
      <c r="AW39" s="37">
        <v>0</v>
      </c>
      <c r="AX39" s="46"/>
      <c r="AY39" s="46"/>
      <c r="AZ39" s="46"/>
      <c r="BA39" s="46"/>
      <c r="BB39" s="46"/>
      <c r="BC39" s="46"/>
      <c r="BD39" s="46"/>
      <c r="BE39" s="38">
        <f t="shared" si="11"/>
        <v>0</v>
      </c>
      <c r="BF39" s="37">
        <v>0</v>
      </c>
      <c r="BG39" s="46"/>
      <c r="BH39" s="46"/>
      <c r="BI39" s="46"/>
      <c r="BJ39" s="46"/>
      <c r="BK39" s="46"/>
      <c r="BL39" s="46"/>
      <c r="BM39" s="46"/>
      <c r="BN39" s="38">
        <f t="shared" si="12"/>
        <v>0</v>
      </c>
      <c r="BO39" s="37">
        <v>0</v>
      </c>
      <c r="BP39" s="46"/>
      <c r="BQ39" s="46"/>
      <c r="BR39" s="46"/>
      <c r="BS39" s="46"/>
      <c r="BT39" s="46"/>
      <c r="BU39" s="46"/>
      <c r="BV39" s="46"/>
      <c r="BW39" s="38">
        <f t="shared" si="13"/>
        <v>0</v>
      </c>
      <c r="BX39" s="37">
        <v>0</v>
      </c>
      <c r="BY39" s="46"/>
      <c r="BZ39" s="46"/>
      <c r="CA39" s="46"/>
      <c r="CB39" s="46"/>
      <c r="CC39" s="46"/>
      <c r="CD39" s="46"/>
      <c r="CE39" s="46"/>
      <c r="CF39" s="38">
        <f t="shared" si="14"/>
        <v>0</v>
      </c>
      <c r="CG39" s="37">
        <v>0</v>
      </c>
      <c r="CH39" s="46"/>
      <c r="CI39" s="46"/>
      <c r="CJ39" s="46"/>
      <c r="CK39" s="46"/>
      <c r="CL39" s="46"/>
      <c r="CM39" s="46"/>
      <c r="CN39" s="46"/>
      <c r="CO39" s="38">
        <f t="shared" si="15"/>
        <v>0</v>
      </c>
      <c r="CP39" s="37">
        <v>0</v>
      </c>
      <c r="CQ39" s="46"/>
      <c r="CR39" s="46"/>
      <c r="CS39" s="46"/>
      <c r="CT39" s="46"/>
      <c r="CU39" s="46"/>
      <c r="CV39" s="46"/>
      <c r="CW39" s="46"/>
      <c r="CX39" s="38">
        <f t="shared" si="16"/>
        <v>0</v>
      </c>
      <c r="CY39" s="37">
        <v>0</v>
      </c>
      <c r="CZ39" s="46"/>
      <c r="DA39" s="46"/>
      <c r="DB39" s="46"/>
      <c r="DC39" s="46"/>
      <c r="DD39" s="46"/>
      <c r="DE39" s="46"/>
      <c r="DF39" s="46"/>
      <c r="DG39" s="38">
        <f t="shared" si="17"/>
        <v>0</v>
      </c>
      <c r="DH39" s="37">
        <v>0</v>
      </c>
      <c r="DI39" s="46"/>
      <c r="DJ39" s="46"/>
      <c r="DK39" s="46"/>
      <c r="DL39" s="46"/>
      <c r="DM39" s="46"/>
      <c r="DN39" s="46"/>
      <c r="DO39" s="46"/>
      <c r="DP39" s="38">
        <f t="shared" si="18"/>
        <v>0</v>
      </c>
      <c r="DQ39" s="37">
        <v>0</v>
      </c>
      <c r="DR39" s="46"/>
      <c r="DS39" s="46"/>
      <c r="DT39" s="46"/>
      <c r="DU39" s="46"/>
      <c r="DV39" s="46"/>
      <c r="DW39" s="46"/>
      <c r="DX39" s="46"/>
      <c r="DY39" s="38">
        <f t="shared" si="19"/>
        <v>0</v>
      </c>
      <c r="DZ39" s="110">
        <v>0</v>
      </c>
      <c r="EA39" s="116"/>
      <c r="EB39" s="46"/>
      <c r="EC39" s="46"/>
      <c r="ED39" s="46"/>
      <c r="EE39" s="46"/>
      <c r="EF39" s="46"/>
      <c r="EG39" s="117"/>
      <c r="EH39" s="114">
        <f t="shared" si="20"/>
        <v>0</v>
      </c>
      <c r="EI39" s="74">
        <f t="shared" si="21"/>
        <v>0</v>
      </c>
      <c r="EJ39" s="75">
        <f t="shared" si="22"/>
        <v>0</v>
      </c>
      <c r="EK39" s="75">
        <f t="shared" si="23"/>
        <v>0</v>
      </c>
      <c r="EL39" s="75">
        <f t="shared" si="24"/>
        <v>0</v>
      </c>
      <c r="EM39" s="75">
        <f t="shared" si="25"/>
        <v>0</v>
      </c>
      <c r="EN39" s="75">
        <f t="shared" si="26"/>
        <v>0</v>
      </c>
      <c r="EO39" s="76">
        <f t="shared" si="27"/>
        <v>0</v>
      </c>
      <c r="EP39" s="71">
        <f t="shared" si="28"/>
        <v>0</v>
      </c>
      <c r="EQ39" s="71">
        <f t="shared" si="29"/>
        <v>0</v>
      </c>
      <c r="ER39" s="71">
        <f t="shared" si="30"/>
        <v>0</v>
      </c>
      <c r="ES39" s="71">
        <f t="shared" si="31"/>
        <v>0</v>
      </c>
      <c r="ET39" s="71">
        <f t="shared" si="33"/>
        <v>0</v>
      </c>
      <c r="EU39" s="71">
        <f t="shared" si="34"/>
        <v>0</v>
      </c>
      <c r="EV39" s="71">
        <f t="shared" si="35"/>
        <v>0</v>
      </c>
      <c r="EW39" s="15" t="e">
        <f t="shared" si="36"/>
        <v>#DIV/0!</v>
      </c>
      <c r="EX39" s="15" t="e">
        <f t="shared" si="37"/>
        <v>#DIV/0!</v>
      </c>
    </row>
    <row r="40" spans="1:154" ht="18" customHeight="1" thickBot="1" x14ac:dyDescent="0.3">
      <c r="A40" s="260" t="s">
        <v>77</v>
      </c>
      <c r="B40" s="261"/>
      <c r="C40" s="150">
        <f t="shared" ref="C40:C62" si="38">IF(E$1="Wettkampf 1",0,IF(B40&gt;0,1,0))</f>
        <v>0</v>
      </c>
      <c r="D40" s="37">
        <v>0</v>
      </c>
      <c r="E40" s="130"/>
      <c r="F40" s="131"/>
      <c r="G40" s="131"/>
      <c r="H40" s="131"/>
      <c r="I40" s="131"/>
      <c r="J40" s="131"/>
      <c r="K40" s="132"/>
      <c r="L40" s="38">
        <f t="shared" si="0"/>
        <v>0</v>
      </c>
      <c r="M40" s="37">
        <v>0</v>
      </c>
      <c r="N40" s="130"/>
      <c r="O40" s="131"/>
      <c r="P40" s="131"/>
      <c r="Q40" s="131"/>
      <c r="R40" s="131"/>
      <c r="S40" s="131"/>
      <c r="T40" s="132"/>
      <c r="U40" s="38">
        <f t="shared" si="1"/>
        <v>0</v>
      </c>
      <c r="V40" s="37">
        <v>0</v>
      </c>
      <c r="W40" s="46"/>
      <c r="X40" s="46"/>
      <c r="Y40" s="46"/>
      <c r="Z40" s="46"/>
      <c r="AA40" s="46"/>
      <c r="AB40" s="46"/>
      <c r="AC40" s="46"/>
      <c r="AD40" s="38">
        <f t="shared" si="2"/>
        <v>0</v>
      </c>
      <c r="AE40" s="37">
        <v>0</v>
      </c>
      <c r="AF40" s="46"/>
      <c r="AG40" s="46"/>
      <c r="AH40" s="46"/>
      <c r="AI40" s="46"/>
      <c r="AJ40" s="46"/>
      <c r="AK40" s="46"/>
      <c r="AL40" s="46"/>
      <c r="AM40" s="38">
        <f t="shared" si="9"/>
        <v>0</v>
      </c>
      <c r="AN40" s="37">
        <v>0</v>
      </c>
      <c r="AO40" s="46"/>
      <c r="AP40" s="46"/>
      <c r="AQ40" s="46"/>
      <c r="AR40" s="46"/>
      <c r="AS40" s="46"/>
      <c r="AT40" s="46"/>
      <c r="AU40" s="46"/>
      <c r="AV40" s="38">
        <f t="shared" si="10"/>
        <v>0</v>
      </c>
      <c r="AW40" s="37">
        <v>0</v>
      </c>
      <c r="AX40" s="46"/>
      <c r="AY40" s="46"/>
      <c r="AZ40" s="46"/>
      <c r="BA40" s="46"/>
      <c r="BB40" s="46"/>
      <c r="BC40" s="46"/>
      <c r="BD40" s="46"/>
      <c r="BE40" s="38">
        <f t="shared" si="11"/>
        <v>0</v>
      </c>
      <c r="BF40" s="37">
        <v>0</v>
      </c>
      <c r="BG40" s="46"/>
      <c r="BH40" s="46"/>
      <c r="BI40" s="46"/>
      <c r="BJ40" s="46"/>
      <c r="BK40" s="46"/>
      <c r="BL40" s="46"/>
      <c r="BM40" s="46"/>
      <c r="BN40" s="38">
        <f t="shared" si="12"/>
        <v>0</v>
      </c>
      <c r="BO40" s="37">
        <v>0</v>
      </c>
      <c r="BP40" s="46"/>
      <c r="BQ40" s="46"/>
      <c r="BR40" s="46"/>
      <c r="BS40" s="46"/>
      <c r="BT40" s="46"/>
      <c r="BU40" s="46"/>
      <c r="BV40" s="46"/>
      <c r="BW40" s="38">
        <f t="shared" si="13"/>
        <v>0</v>
      </c>
      <c r="BX40" s="37">
        <v>0</v>
      </c>
      <c r="BY40" s="46"/>
      <c r="BZ40" s="46"/>
      <c r="CA40" s="46"/>
      <c r="CB40" s="46"/>
      <c r="CC40" s="46"/>
      <c r="CD40" s="46"/>
      <c r="CE40" s="46"/>
      <c r="CF40" s="38">
        <f t="shared" si="14"/>
        <v>0</v>
      </c>
      <c r="CG40" s="37">
        <v>0</v>
      </c>
      <c r="CH40" s="46"/>
      <c r="CI40" s="46"/>
      <c r="CJ40" s="46"/>
      <c r="CK40" s="46"/>
      <c r="CL40" s="46"/>
      <c r="CM40" s="46"/>
      <c r="CN40" s="46"/>
      <c r="CO40" s="38">
        <f t="shared" si="15"/>
        <v>0</v>
      </c>
      <c r="CP40" s="37">
        <v>0</v>
      </c>
      <c r="CQ40" s="46"/>
      <c r="CR40" s="46"/>
      <c r="CS40" s="46"/>
      <c r="CT40" s="46"/>
      <c r="CU40" s="46"/>
      <c r="CV40" s="46"/>
      <c r="CW40" s="46"/>
      <c r="CX40" s="38">
        <f t="shared" si="16"/>
        <v>0</v>
      </c>
      <c r="CY40" s="37">
        <v>0</v>
      </c>
      <c r="CZ40" s="46"/>
      <c r="DA40" s="46"/>
      <c r="DB40" s="46"/>
      <c r="DC40" s="46"/>
      <c r="DD40" s="46"/>
      <c r="DE40" s="46"/>
      <c r="DF40" s="46"/>
      <c r="DG40" s="38">
        <f t="shared" si="17"/>
        <v>0</v>
      </c>
      <c r="DH40" s="37">
        <v>0</v>
      </c>
      <c r="DI40" s="46"/>
      <c r="DJ40" s="46"/>
      <c r="DK40" s="46"/>
      <c r="DL40" s="46"/>
      <c r="DM40" s="46"/>
      <c r="DN40" s="46"/>
      <c r="DO40" s="46"/>
      <c r="DP40" s="38">
        <f t="shared" si="18"/>
        <v>0</v>
      </c>
      <c r="DQ40" s="37">
        <v>0</v>
      </c>
      <c r="DR40" s="46"/>
      <c r="DS40" s="46"/>
      <c r="DT40" s="46"/>
      <c r="DU40" s="46"/>
      <c r="DV40" s="46"/>
      <c r="DW40" s="46"/>
      <c r="DX40" s="46"/>
      <c r="DY40" s="38">
        <f t="shared" si="19"/>
        <v>0</v>
      </c>
      <c r="DZ40" s="110">
        <v>0</v>
      </c>
      <c r="EA40" s="116"/>
      <c r="EB40" s="46"/>
      <c r="EC40" s="46"/>
      <c r="ED40" s="46"/>
      <c r="EE40" s="46"/>
      <c r="EF40" s="46"/>
      <c r="EG40" s="117"/>
      <c r="EH40" s="114">
        <f t="shared" si="20"/>
        <v>0</v>
      </c>
      <c r="EI40" s="74">
        <f t="shared" si="21"/>
        <v>0</v>
      </c>
      <c r="EJ40" s="75">
        <f t="shared" si="22"/>
        <v>0</v>
      </c>
      <c r="EK40" s="75">
        <f t="shared" si="23"/>
        <v>0</v>
      </c>
      <c r="EL40" s="75">
        <f t="shared" si="24"/>
        <v>0</v>
      </c>
      <c r="EM40" s="75">
        <f>(I40/$D$2)+(R40/$M$2)+(AA40/$V$2)+(AJ40/$AE$2)+(AS40/$AN$2)+(BB40/$AW$2)+(BK40/$BF$2)+(BT40/$BO$2)+(CC40/$BX$2)+(CL40/$CG$2)+(CU40/$CP$2)+(DD40/$CY$2)+(DM40/$DH$2)+(DV40/$DQ$2)+(EE40/$DZ$2)</f>
        <v>0</v>
      </c>
      <c r="EN40" s="75">
        <f t="shared" si="26"/>
        <v>0</v>
      </c>
      <c r="EO40" s="76">
        <f t="shared" si="27"/>
        <v>0</v>
      </c>
      <c r="EP40" s="71">
        <f t="shared" si="28"/>
        <v>0</v>
      </c>
      <c r="EQ40" s="71">
        <f t="shared" si="29"/>
        <v>0</v>
      </c>
      <c r="ER40" s="71">
        <f t="shared" si="30"/>
        <v>0</v>
      </c>
      <c r="ES40" s="71">
        <f t="shared" si="31"/>
        <v>0</v>
      </c>
      <c r="ET40" s="71">
        <f>IF($EH40=0,0,((I111/$D$2)+(R111/$M$2)+(AA111/$V$2)+(AJ111/$AE$2)+(AS111/$AN$2)+(BB111/$AW$2)+(BK111/$BF$2)+(BT111/$BO$2)+(CC111/$BX$2)+(CL111/$CG$2)+(CU111/$CP$2)+(DD111/$CY$2)+(DM111/$DH$2)+(DV111/$DQ$2)+(EE111/$DZ$2)))</f>
        <v>0</v>
      </c>
      <c r="EU40" s="71">
        <f t="shared" si="34"/>
        <v>0</v>
      </c>
      <c r="EV40" s="71">
        <f t="shared" si="35"/>
        <v>0</v>
      </c>
      <c r="EW40" s="15" t="e">
        <f t="shared" si="36"/>
        <v>#DIV/0!</v>
      </c>
      <c r="EX40" s="15" t="e">
        <f t="shared" si="37"/>
        <v>#DIV/0!</v>
      </c>
    </row>
    <row r="41" spans="1:154" ht="18" customHeight="1" thickBot="1" x14ac:dyDescent="0.3">
      <c r="A41" s="260"/>
      <c r="B41" s="261"/>
      <c r="C41" s="150">
        <v>0</v>
      </c>
      <c r="D41" s="37">
        <v>0</v>
      </c>
      <c r="E41" s="130"/>
      <c r="F41" s="131"/>
      <c r="G41" s="131"/>
      <c r="H41" s="131"/>
      <c r="I41" s="131"/>
      <c r="J41" s="131"/>
      <c r="K41" s="132"/>
      <c r="L41" s="38">
        <f t="shared" si="0"/>
        <v>0</v>
      </c>
      <c r="M41" s="37">
        <v>0</v>
      </c>
      <c r="N41" s="130"/>
      <c r="O41" s="131"/>
      <c r="P41" s="131"/>
      <c r="Q41" s="131"/>
      <c r="R41" s="131"/>
      <c r="S41" s="131"/>
      <c r="T41" s="132"/>
      <c r="U41" s="38">
        <f t="shared" si="1"/>
        <v>0</v>
      </c>
      <c r="V41" s="37">
        <v>0</v>
      </c>
      <c r="W41" s="46"/>
      <c r="X41" s="46"/>
      <c r="Y41" s="46"/>
      <c r="Z41" s="46"/>
      <c r="AA41" s="46"/>
      <c r="AB41" s="46"/>
      <c r="AC41" s="46"/>
      <c r="AD41" s="38">
        <f t="shared" si="2"/>
        <v>0</v>
      </c>
      <c r="AE41" s="37">
        <v>0</v>
      </c>
      <c r="AF41" s="46"/>
      <c r="AG41" s="46"/>
      <c r="AH41" s="46"/>
      <c r="AI41" s="46"/>
      <c r="AJ41" s="46"/>
      <c r="AK41" s="46"/>
      <c r="AL41" s="46"/>
      <c r="AM41" s="38">
        <f t="shared" si="9"/>
        <v>0</v>
      </c>
      <c r="AN41" s="37">
        <v>0</v>
      </c>
      <c r="AO41" s="46"/>
      <c r="AP41" s="46"/>
      <c r="AQ41" s="46"/>
      <c r="AR41" s="46"/>
      <c r="AS41" s="46"/>
      <c r="AT41" s="46"/>
      <c r="AU41" s="46"/>
      <c r="AV41" s="38">
        <f t="shared" si="10"/>
        <v>0</v>
      </c>
      <c r="AW41" s="37">
        <v>0</v>
      </c>
      <c r="AX41" s="46"/>
      <c r="AY41" s="46"/>
      <c r="AZ41" s="46"/>
      <c r="BA41" s="46"/>
      <c r="BB41" s="46"/>
      <c r="BC41" s="46"/>
      <c r="BD41" s="46"/>
      <c r="BE41" s="38">
        <f t="shared" si="11"/>
        <v>0</v>
      </c>
      <c r="BF41" s="37">
        <v>0</v>
      </c>
      <c r="BG41" s="46"/>
      <c r="BH41" s="46"/>
      <c r="BI41" s="46"/>
      <c r="BJ41" s="46"/>
      <c r="BK41" s="46"/>
      <c r="BL41" s="46"/>
      <c r="BM41" s="46"/>
      <c r="BN41" s="38">
        <f t="shared" si="12"/>
        <v>0</v>
      </c>
      <c r="BO41" s="37">
        <v>0</v>
      </c>
      <c r="BP41" s="46"/>
      <c r="BQ41" s="46"/>
      <c r="BR41" s="46"/>
      <c r="BS41" s="46"/>
      <c r="BT41" s="46"/>
      <c r="BU41" s="46"/>
      <c r="BV41" s="46"/>
      <c r="BW41" s="38">
        <f t="shared" si="13"/>
        <v>0</v>
      </c>
      <c r="BX41" s="37">
        <v>0</v>
      </c>
      <c r="BY41" s="46"/>
      <c r="BZ41" s="46"/>
      <c r="CA41" s="46"/>
      <c r="CB41" s="46"/>
      <c r="CC41" s="46"/>
      <c r="CD41" s="46"/>
      <c r="CE41" s="46"/>
      <c r="CF41" s="38">
        <f t="shared" si="14"/>
        <v>0</v>
      </c>
      <c r="CG41" s="37">
        <v>0</v>
      </c>
      <c r="CH41" s="46"/>
      <c r="CI41" s="46"/>
      <c r="CJ41" s="46"/>
      <c r="CK41" s="46"/>
      <c r="CL41" s="46"/>
      <c r="CM41" s="46"/>
      <c r="CN41" s="46"/>
      <c r="CO41" s="38">
        <f t="shared" si="15"/>
        <v>0</v>
      </c>
      <c r="CP41" s="37">
        <v>0</v>
      </c>
      <c r="CQ41" s="46"/>
      <c r="CR41" s="46"/>
      <c r="CS41" s="46"/>
      <c r="CT41" s="46"/>
      <c r="CU41" s="46"/>
      <c r="CV41" s="46"/>
      <c r="CW41" s="46"/>
      <c r="CX41" s="38">
        <f t="shared" si="16"/>
        <v>0</v>
      </c>
      <c r="CY41" s="37">
        <v>0</v>
      </c>
      <c r="CZ41" s="46"/>
      <c r="DA41" s="46"/>
      <c r="DB41" s="46"/>
      <c r="DC41" s="46"/>
      <c r="DD41" s="46"/>
      <c r="DE41" s="46"/>
      <c r="DF41" s="46"/>
      <c r="DG41" s="38">
        <f t="shared" si="17"/>
        <v>0</v>
      </c>
      <c r="DH41" s="37">
        <v>0</v>
      </c>
      <c r="DI41" s="46"/>
      <c r="DJ41" s="46"/>
      <c r="DK41" s="46"/>
      <c r="DL41" s="46"/>
      <c r="DM41" s="46"/>
      <c r="DN41" s="46"/>
      <c r="DO41" s="46"/>
      <c r="DP41" s="38">
        <f t="shared" si="18"/>
        <v>0</v>
      </c>
      <c r="DQ41" s="37">
        <v>0</v>
      </c>
      <c r="DR41" s="46"/>
      <c r="DS41" s="46"/>
      <c r="DT41" s="46"/>
      <c r="DU41" s="46"/>
      <c r="DV41" s="46"/>
      <c r="DW41" s="46"/>
      <c r="DX41" s="46"/>
      <c r="DY41" s="38">
        <f t="shared" si="19"/>
        <v>0</v>
      </c>
      <c r="DZ41" s="110">
        <v>0</v>
      </c>
      <c r="EA41" s="116"/>
      <c r="EB41" s="46"/>
      <c r="EC41" s="46"/>
      <c r="ED41" s="46"/>
      <c r="EE41" s="46"/>
      <c r="EF41" s="46"/>
      <c r="EG41" s="117"/>
      <c r="EH41" s="114">
        <f t="shared" si="20"/>
        <v>0</v>
      </c>
      <c r="EI41" s="74">
        <f t="shared" si="21"/>
        <v>0</v>
      </c>
      <c r="EJ41" s="75">
        <f t="shared" si="22"/>
        <v>0</v>
      </c>
      <c r="EK41" s="75">
        <f t="shared" si="23"/>
        <v>0</v>
      </c>
      <c r="EL41" s="75">
        <f t="shared" si="24"/>
        <v>0</v>
      </c>
      <c r="EM41" s="75">
        <f t="shared" si="25"/>
        <v>0</v>
      </c>
      <c r="EN41" s="75">
        <f t="shared" si="26"/>
        <v>0</v>
      </c>
      <c r="EO41" s="76">
        <f t="shared" si="27"/>
        <v>0</v>
      </c>
      <c r="EP41" s="71">
        <f t="shared" si="28"/>
        <v>0</v>
      </c>
      <c r="EQ41" s="71">
        <f t="shared" si="29"/>
        <v>0</v>
      </c>
      <c r="ER41" s="71">
        <f t="shared" si="30"/>
        <v>0</v>
      </c>
      <c r="ES41" s="71">
        <f t="shared" si="31"/>
        <v>0</v>
      </c>
      <c r="ET41" s="71">
        <f t="shared" si="33"/>
        <v>0</v>
      </c>
      <c r="EU41" s="71">
        <f t="shared" si="34"/>
        <v>0</v>
      </c>
      <c r="EV41" s="71">
        <f t="shared" si="35"/>
        <v>0</v>
      </c>
      <c r="EW41" s="15" t="e">
        <f t="shared" si="36"/>
        <v>#DIV/0!</v>
      </c>
      <c r="EX41" s="15" t="e">
        <f t="shared" si="37"/>
        <v>#DIV/0!</v>
      </c>
    </row>
    <row r="42" spans="1:154" ht="18" customHeight="1" thickBot="1" x14ac:dyDescent="0.3">
      <c r="A42" s="260" t="s">
        <v>78</v>
      </c>
      <c r="B42" s="259"/>
      <c r="C42" s="150">
        <f t="shared" si="38"/>
        <v>0</v>
      </c>
      <c r="D42" s="37">
        <v>0</v>
      </c>
      <c r="E42" s="130"/>
      <c r="F42" s="131"/>
      <c r="G42" s="131"/>
      <c r="H42" s="131"/>
      <c r="I42" s="131"/>
      <c r="J42" s="131"/>
      <c r="K42" s="132"/>
      <c r="L42" s="38">
        <f t="shared" si="0"/>
        <v>0</v>
      </c>
      <c r="M42" s="37">
        <v>0</v>
      </c>
      <c r="N42" s="130"/>
      <c r="O42" s="131"/>
      <c r="P42" s="131"/>
      <c r="Q42" s="131"/>
      <c r="R42" s="131"/>
      <c r="S42" s="131"/>
      <c r="T42" s="132"/>
      <c r="U42" s="38">
        <f t="shared" si="1"/>
        <v>0</v>
      </c>
      <c r="V42" s="37">
        <v>0</v>
      </c>
      <c r="W42" s="46"/>
      <c r="X42" s="46"/>
      <c r="Y42" s="46"/>
      <c r="Z42" s="46"/>
      <c r="AA42" s="46"/>
      <c r="AB42" s="46"/>
      <c r="AC42" s="46"/>
      <c r="AD42" s="38">
        <f t="shared" si="2"/>
        <v>0</v>
      </c>
      <c r="AE42" s="37">
        <v>0</v>
      </c>
      <c r="AF42" s="46"/>
      <c r="AG42" s="46"/>
      <c r="AH42" s="46"/>
      <c r="AI42" s="46"/>
      <c r="AJ42" s="46"/>
      <c r="AK42" s="46"/>
      <c r="AL42" s="46"/>
      <c r="AM42" s="38">
        <f t="shared" si="9"/>
        <v>0</v>
      </c>
      <c r="AN42" s="37">
        <v>0</v>
      </c>
      <c r="AO42" s="46"/>
      <c r="AP42" s="46"/>
      <c r="AQ42" s="46"/>
      <c r="AR42" s="46"/>
      <c r="AS42" s="46"/>
      <c r="AT42" s="46"/>
      <c r="AU42" s="46"/>
      <c r="AV42" s="38">
        <f t="shared" si="10"/>
        <v>0</v>
      </c>
      <c r="AW42" s="37">
        <v>0</v>
      </c>
      <c r="AX42" s="46"/>
      <c r="AY42" s="46"/>
      <c r="AZ42" s="46"/>
      <c r="BA42" s="46"/>
      <c r="BB42" s="46"/>
      <c r="BC42" s="46"/>
      <c r="BD42" s="46"/>
      <c r="BE42" s="38">
        <f t="shared" si="11"/>
        <v>0</v>
      </c>
      <c r="BF42" s="37">
        <v>0</v>
      </c>
      <c r="BG42" s="46"/>
      <c r="BH42" s="46"/>
      <c r="BI42" s="46"/>
      <c r="BJ42" s="46"/>
      <c r="BK42" s="46"/>
      <c r="BL42" s="46"/>
      <c r="BM42" s="46"/>
      <c r="BN42" s="38">
        <f t="shared" si="12"/>
        <v>0</v>
      </c>
      <c r="BO42" s="37">
        <v>0</v>
      </c>
      <c r="BP42" s="46"/>
      <c r="BQ42" s="46"/>
      <c r="BR42" s="46"/>
      <c r="BS42" s="46"/>
      <c r="BT42" s="46"/>
      <c r="BU42" s="46"/>
      <c r="BV42" s="46"/>
      <c r="BW42" s="38">
        <f t="shared" si="13"/>
        <v>0</v>
      </c>
      <c r="BX42" s="37">
        <v>0</v>
      </c>
      <c r="BY42" s="46"/>
      <c r="BZ42" s="46"/>
      <c r="CA42" s="46"/>
      <c r="CB42" s="46"/>
      <c r="CC42" s="46"/>
      <c r="CD42" s="46"/>
      <c r="CE42" s="46"/>
      <c r="CF42" s="38">
        <f t="shared" si="14"/>
        <v>0</v>
      </c>
      <c r="CG42" s="37">
        <v>0</v>
      </c>
      <c r="CH42" s="46"/>
      <c r="CI42" s="46"/>
      <c r="CJ42" s="46"/>
      <c r="CK42" s="46"/>
      <c r="CL42" s="46"/>
      <c r="CM42" s="46"/>
      <c r="CN42" s="46"/>
      <c r="CO42" s="38">
        <f t="shared" si="15"/>
        <v>0</v>
      </c>
      <c r="CP42" s="37">
        <v>0</v>
      </c>
      <c r="CQ42" s="46"/>
      <c r="CR42" s="46"/>
      <c r="CS42" s="46"/>
      <c r="CT42" s="46"/>
      <c r="CU42" s="46"/>
      <c r="CV42" s="46"/>
      <c r="CW42" s="46"/>
      <c r="CX42" s="38">
        <f t="shared" si="16"/>
        <v>0</v>
      </c>
      <c r="CY42" s="37">
        <v>0</v>
      </c>
      <c r="CZ42" s="46"/>
      <c r="DA42" s="46"/>
      <c r="DB42" s="46"/>
      <c r="DC42" s="46"/>
      <c r="DD42" s="46"/>
      <c r="DE42" s="46"/>
      <c r="DF42" s="46"/>
      <c r="DG42" s="38">
        <f t="shared" si="17"/>
        <v>0</v>
      </c>
      <c r="DH42" s="37">
        <v>0</v>
      </c>
      <c r="DI42" s="46"/>
      <c r="DJ42" s="46"/>
      <c r="DK42" s="46"/>
      <c r="DL42" s="46"/>
      <c r="DM42" s="46"/>
      <c r="DN42" s="46"/>
      <c r="DO42" s="46"/>
      <c r="DP42" s="38">
        <f t="shared" si="18"/>
        <v>0</v>
      </c>
      <c r="DQ42" s="37">
        <v>0</v>
      </c>
      <c r="DR42" s="46"/>
      <c r="DS42" s="46"/>
      <c r="DT42" s="46"/>
      <c r="DU42" s="46"/>
      <c r="DV42" s="46"/>
      <c r="DW42" s="46"/>
      <c r="DX42" s="46"/>
      <c r="DY42" s="38">
        <f t="shared" si="19"/>
        <v>0</v>
      </c>
      <c r="DZ42" s="110">
        <v>0</v>
      </c>
      <c r="EA42" s="116"/>
      <c r="EB42" s="46"/>
      <c r="EC42" s="46"/>
      <c r="ED42" s="46"/>
      <c r="EE42" s="46"/>
      <c r="EF42" s="46"/>
      <c r="EG42" s="117"/>
      <c r="EH42" s="114">
        <f t="shared" si="20"/>
        <v>0</v>
      </c>
      <c r="EI42" s="74">
        <f t="shared" si="21"/>
        <v>0</v>
      </c>
      <c r="EJ42" s="75">
        <f t="shared" si="22"/>
        <v>0</v>
      </c>
      <c r="EK42" s="75">
        <f t="shared" si="23"/>
        <v>0</v>
      </c>
      <c r="EL42" s="75">
        <f t="shared" si="24"/>
        <v>0</v>
      </c>
      <c r="EM42" s="75">
        <f t="shared" si="25"/>
        <v>0</v>
      </c>
      <c r="EN42" s="75">
        <f t="shared" si="26"/>
        <v>0</v>
      </c>
      <c r="EO42" s="76">
        <f t="shared" si="27"/>
        <v>0</v>
      </c>
      <c r="EP42" s="71">
        <f t="shared" si="28"/>
        <v>0</v>
      </c>
      <c r="EQ42" s="71">
        <f t="shared" si="29"/>
        <v>0</v>
      </c>
      <c r="ER42" s="71">
        <f t="shared" si="30"/>
        <v>0</v>
      </c>
      <c r="ES42" s="71">
        <f t="shared" si="31"/>
        <v>0</v>
      </c>
      <c r="ET42" s="71">
        <f t="shared" si="33"/>
        <v>0</v>
      </c>
      <c r="EU42" s="71">
        <f t="shared" si="34"/>
        <v>0</v>
      </c>
      <c r="EV42" s="71">
        <f t="shared" si="35"/>
        <v>0</v>
      </c>
      <c r="EW42" s="15" t="e">
        <f t="shared" si="36"/>
        <v>#DIV/0!</v>
      </c>
      <c r="EX42" s="15" t="e">
        <f t="shared" si="37"/>
        <v>#DIV/0!</v>
      </c>
    </row>
    <row r="43" spans="1:154" ht="18" customHeight="1" thickBot="1" x14ac:dyDescent="0.3">
      <c r="A43" s="258"/>
      <c r="B43" s="259"/>
      <c r="C43" s="150">
        <v>0</v>
      </c>
      <c r="D43" s="37">
        <v>0</v>
      </c>
      <c r="E43" s="130"/>
      <c r="F43" s="131"/>
      <c r="G43" s="131"/>
      <c r="H43" s="131"/>
      <c r="I43" s="131"/>
      <c r="J43" s="131"/>
      <c r="K43" s="132"/>
      <c r="L43" s="38">
        <f t="shared" si="0"/>
        <v>0</v>
      </c>
      <c r="M43" s="37">
        <v>0</v>
      </c>
      <c r="N43" s="130"/>
      <c r="O43" s="131"/>
      <c r="P43" s="131"/>
      <c r="Q43" s="131"/>
      <c r="R43" s="131"/>
      <c r="S43" s="131"/>
      <c r="T43" s="132"/>
      <c r="U43" s="38">
        <f t="shared" si="1"/>
        <v>0</v>
      </c>
      <c r="V43" s="37">
        <v>0</v>
      </c>
      <c r="W43" s="46"/>
      <c r="X43" s="46"/>
      <c r="Y43" s="46"/>
      <c r="Z43" s="46"/>
      <c r="AA43" s="46"/>
      <c r="AB43" s="46"/>
      <c r="AC43" s="46"/>
      <c r="AD43" s="38">
        <f t="shared" si="2"/>
        <v>0</v>
      </c>
      <c r="AE43" s="37">
        <v>0</v>
      </c>
      <c r="AF43" s="46"/>
      <c r="AG43" s="46"/>
      <c r="AH43" s="46"/>
      <c r="AI43" s="46"/>
      <c r="AJ43" s="46"/>
      <c r="AK43" s="46"/>
      <c r="AL43" s="46"/>
      <c r="AM43" s="38">
        <f t="shared" si="9"/>
        <v>0</v>
      </c>
      <c r="AN43" s="37">
        <v>0</v>
      </c>
      <c r="AO43" s="46"/>
      <c r="AP43" s="46"/>
      <c r="AQ43" s="46"/>
      <c r="AR43" s="46"/>
      <c r="AS43" s="46"/>
      <c r="AT43" s="46"/>
      <c r="AU43" s="46"/>
      <c r="AV43" s="38">
        <f t="shared" si="10"/>
        <v>0</v>
      </c>
      <c r="AW43" s="37">
        <v>0</v>
      </c>
      <c r="AX43" s="46"/>
      <c r="AY43" s="46"/>
      <c r="AZ43" s="46"/>
      <c r="BA43" s="46"/>
      <c r="BB43" s="46"/>
      <c r="BC43" s="46"/>
      <c r="BD43" s="46"/>
      <c r="BE43" s="38">
        <f t="shared" si="11"/>
        <v>0</v>
      </c>
      <c r="BF43" s="37">
        <v>0</v>
      </c>
      <c r="BG43" s="46"/>
      <c r="BH43" s="46"/>
      <c r="BI43" s="46"/>
      <c r="BJ43" s="46"/>
      <c r="BK43" s="46"/>
      <c r="BL43" s="46"/>
      <c r="BM43" s="46"/>
      <c r="BN43" s="38">
        <f t="shared" si="12"/>
        <v>0</v>
      </c>
      <c r="BO43" s="37">
        <v>0</v>
      </c>
      <c r="BP43" s="46"/>
      <c r="BQ43" s="46"/>
      <c r="BR43" s="46"/>
      <c r="BS43" s="46"/>
      <c r="BT43" s="46"/>
      <c r="BU43" s="46"/>
      <c r="BV43" s="46"/>
      <c r="BW43" s="38">
        <f t="shared" si="13"/>
        <v>0</v>
      </c>
      <c r="BX43" s="37">
        <v>0</v>
      </c>
      <c r="BY43" s="46"/>
      <c r="BZ43" s="46"/>
      <c r="CA43" s="46"/>
      <c r="CB43" s="46"/>
      <c r="CC43" s="46"/>
      <c r="CD43" s="46"/>
      <c r="CE43" s="46"/>
      <c r="CF43" s="38">
        <f t="shared" si="14"/>
        <v>0</v>
      </c>
      <c r="CG43" s="37">
        <v>0</v>
      </c>
      <c r="CH43" s="46"/>
      <c r="CI43" s="46"/>
      <c r="CJ43" s="46"/>
      <c r="CK43" s="46"/>
      <c r="CL43" s="46"/>
      <c r="CM43" s="46"/>
      <c r="CN43" s="46"/>
      <c r="CO43" s="38">
        <f t="shared" si="15"/>
        <v>0</v>
      </c>
      <c r="CP43" s="37">
        <v>0</v>
      </c>
      <c r="CQ43" s="46"/>
      <c r="CR43" s="46"/>
      <c r="CS43" s="46"/>
      <c r="CT43" s="46"/>
      <c r="CU43" s="46"/>
      <c r="CV43" s="46"/>
      <c r="CW43" s="46"/>
      <c r="CX43" s="38">
        <f t="shared" si="16"/>
        <v>0</v>
      </c>
      <c r="CY43" s="37">
        <v>0</v>
      </c>
      <c r="CZ43" s="46"/>
      <c r="DA43" s="46"/>
      <c r="DB43" s="46"/>
      <c r="DC43" s="46"/>
      <c r="DD43" s="46"/>
      <c r="DE43" s="46"/>
      <c r="DF43" s="46"/>
      <c r="DG43" s="38">
        <f t="shared" si="17"/>
        <v>0</v>
      </c>
      <c r="DH43" s="37">
        <v>0</v>
      </c>
      <c r="DI43" s="46"/>
      <c r="DJ43" s="46"/>
      <c r="DK43" s="46"/>
      <c r="DL43" s="46"/>
      <c r="DM43" s="46"/>
      <c r="DN43" s="46"/>
      <c r="DO43" s="46"/>
      <c r="DP43" s="38">
        <f t="shared" si="18"/>
        <v>0</v>
      </c>
      <c r="DQ43" s="37">
        <v>0</v>
      </c>
      <c r="DR43" s="46"/>
      <c r="DS43" s="46"/>
      <c r="DT43" s="46"/>
      <c r="DU43" s="46"/>
      <c r="DV43" s="46"/>
      <c r="DW43" s="46"/>
      <c r="DX43" s="46"/>
      <c r="DY43" s="38">
        <f t="shared" si="19"/>
        <v>0</v>
      </c>
      <c r="DZ43" s="110">
        <v>0</v>
      </c>
      <c r="EA43" s="116"/>
      <c r="EB43" s="46"/>
      <c r="EC43" s="46"/>
      <c r="ED43" s="46"/>
      <c r="EE43" s="46"/>
      <c r="EF43" s="46"/>
      <c r="EG43" s="117"/>
      <c r="EH43" s="114">
        <f t="shared" si="20"/>
        <v>0</v>
      </c>
      <c r="EI43" s="74">
        <f t="shared" si="21"/>
        <v>0</v>
      </c>
      <c r="EJ43" s="75">
        <f t="shared" si="22"/>
        <v>0</v>
      </c>
      <c r="EK43" s="75">
        <f t="shared" si="23"/>
        <v>0</v>
      </c>
      <c r="EL43" s="75">
        <f t="shared" si="24"/>
        <v>0</v>
      </c>
      <c r="EM43" s="75">
        <f t="shared" si="25"/>
        <v>0</v>
      </c>
      <c r="EN43" s="75">
        <f t="shared" si="26"/>
        <v>0</v>
      </c>
      <c r="EO43" s="76">
        <f t="shared" si="27"/>
        <v>0</v>
      </c>
      <c r="EP43" s="71">
        <f t="shared" si="28"/>
        <v>0</v>
      </c>
      <c r="EQ43" s="71">
        <f t="shared" si="29"/>
        <v>0</v>
      </c>
      <c r="ER43" s="71">
        <f t="shared" si="30"/>
        <v>0</v>
      </c>
      <c r="ES43" s="71">
        <f t="shared" si="31"/>
        <v>0</v>
      </c>
      <c r="ET43" s="71">
        <f t="shared" si="33"/>
        <v>0</v>
      </c>
      <c r="EU43" s="71">
        <f t="shared" si="34"/>
        <v>0</v>
      </c>
      <c r="EV43" s="71">
        <f t="shared" si="35"/>
        <v>0</v>
      </c>
      <c r="EW43" s="15" t="e">
        <f t="shared" si="36"/>
        <v>#DIV/0!</v>
      </c>
      <c r="EX43" s="15" t="e">
        <f t="shared" si="37"/>
        <v>#DIV/0!</v>
      </c>
    </row>
    <row r="44" spans="1:154" ht="18" customHeight="1" thickBot="1" x14ac:dyDescent="0.3">
      <c r="A44" s="260" t="s">
        <v>79</v>
      </c>
      <c r="B44" s="261"/>
      <c r="C44" s="150">
        <f t="shared" si="38"/>
        <v>0</v>
      </c>
      <c r="D44" s="37">
        <v>0</v>
      </c>
      <c r="E44" s="130"/>
      <c r="F44" s="131"/>
      <c r="G44" s="131"/>
      <c r="H44" s="131"/>
      <c r="I44" s="131"/>
      <c r="J44" s="131"/>
      <c r="K44" s="132"/>
      <c r="L44" s="38">
        <f t="shared" si="0"/>
        <v>0</v>
      </c>
      <c r="M44" s="37">
        <v>0</v>
      </c>
      <c r="N44" s="130"/>
      <c r="O44" s="131"/>
      <c r="P44" s="131"/>
      <c r="Q44" s="131"/>
      <c r="R44" s="131"/>
      <c r="S44" s="131"/>
      <c r="T44" s="132"/>
      <c r="U44" s="38">
        <f t="shared" si="1"/>
        <v>0</v>
      </c>
      <c r="V44" s="37">
        <v>0</v>
      </c>
      <c r="W44" s="46"/>
      <c r="X44" s="46"/>
      <c r="Y44" s="46"/>
      <c r="Z44" s="46"/>
      <c r="AA44" s="46"/>
      <c r="AB44" s="46"/>
      <c r="AC44" s="46"/>
      <c r="AD44" s="38">
        <f t="shared" si="2"/>
        <v>0</v>
      </c>
      <c r="AE44" s="37">
        <v>0</v>
      </c>
      <c r="AF44" s="46"/>
      <c r="AG44" s="46"/>
      <c r="AH44" s="46"/>
      <c r="AI44" s="46"/>
      <c r="AJ44" s="46"/>
      <c r="AK44" s="46"/>
      <c r="AL44" s="46"/>
      <c r="AM44" s="38">
        <f t="shared" si="9"/>
        <v>0</v>
      </c>
      <c r="AN44" s="37">
        <v>0</v>
      </c>
      <c r="AO44" s="46"/>
      <c r="AP44" s="46"/>
      <c r="AQ44" s="46"/>
      <c r="AR44" s="46"/>
      <c r="AS44" s="46"/>
      <c r="AT44" s="46"/>
      <c r="AU44" s="46"/>
      <c r="AV44" s="38">
        <f t="shared" si="10"/>
        <v>0</v>
      </c>
      <c r="AW44" s="37">
        <v>0</v>
      </c>
      <c r="AX44" s="46"/>
      <c r="AY44" s="46"/>
      <c r="AZ44" s="46"/>
      <c r="BA44" s="46"/>
      <c r="BB44" s="46"/>
      <c r="BC44" s="46"/>
      <c r="BD44" s="46"/>
      <c r="BE44" s="38">
        <f t="shared" si="11"/>
        <v>0</v>
      </c>
      <c r="BF44" s="37">
        <v>0</v>
      </c>
      <c r="BG44" s="46"/>
      <c r="BH44" s="46"/>
      <c r="BI44" s="46"/>
      <c r="BJ44" s="46"/>
      <c r="BK44" s="46"/>
      <c r="BL44" s="46"/>
      <c r="BM44" s="46"/>
      <c r="BN44" s="38">
        <f t="shared" si="12"/>
        <v>0</v>
      </c>
      <c r="BO44" s="37">
        <v>0</v>
      </c>
      <c r="BP44" s="46"/>
      <c r="BQ44" s="46"/>
      <c r="BR44" s="46"/>
      <c r="BS44" s="46"/>
      <c r="BT44" s="46"/>
      <c r="BU44" s="46"/>
      <c r="BV44" s="46"/>
      <c r="BW44" s="38">
        <f t="shared" si="13"/>
        <v>0</v>
      </c>
      <c r="BX44" s="37">
        <v>0</v>
      </c>
      <c r="BY44" s="46"/>
      <c r="BZ44" s="46"/>
      <c r="CA44" s="46"/>
      <c r="CB44" s="46"/>
      <c r="CC44" s="46"/>
      <c r="CD44" s="46"/>
      <c r="CE44" s="46"/>
      <c r="CF44" s="38">
        <f t="shared" si="14"/>
        <v>0</v>
      </c>
      <c r="CG44" s="37">
        <v>0</v>
      </c>
      <c r="CH44" s="46"/>
      <c r="CI44" s="46"/>
      <c r="CJ44" s="46"/>
      <c r="CK44" s="46"/>
      <c r="CL44" s="46"/>
      <c r="CM44" s="46"/>
      <c r="CN44" s="46"/>
      <c r="CO44" s="38">
        <f t="shared" si="15"/>
        <v>0</v>
      </c>
      <c r="CP44" s="37">
        <v>0</v>
      </c>
      <c r="CQ44" s="46"/>
      <c r="CR44" s="46"/>
      <c r="CS44" s="46"/>
      <c r="CT44" s="46"/>
      <c r="CU44" s="46"/>
      <c r="CV44" s="46"/>
      <c r="CW44" s="46"/>
      <c r="CX44" s="38">
        <f t="shared" si="16"/>
        <v>0</v>
      </c>
      <c r="CY44" s="37">
        <v>0</v>
      </c>
      <c r="CZ44" s="46"/>
      <c r="DA44" s="46"/>
      <c r="DB44" s="46"/>
      <c r="DC44" s="46"/>
      <c r="DD44" s="46"/>
      <c r="DE44" s="46"/>
      <c r="DF44" s="46"/>
      <c r="DG44" s="38">
        <f t="shared" si="17"/>
        <v>0</v>
      </c>
      <c r="DH44" s="37">
        <v>0</v>
      </c>
      <c r="DI44" s="46"/>
      <c r="DJ44" s="46"/>
      <c r="DK44" s="46"/>
      <c r="DL44" s="46"/>
      <c r="DM44" s="46"/>
      <c r="DN44" s="46"/>
      <c r="DO44" s="46"/>
      <c r="DP44" s="38">
        <f t="shared" si="18"/>
        <v>0</v>
      </c>
      <c r="DQ44" s="37">
        <v>0</v>
      </c>
      <c r="DR44" s="46"/>
      <c r="DS44" s="46"/>
      <c r="DT44" s="46"/>
      <c r="DU44" s="46"/>
      <c r="DV44" s="46"/>
      <c r="DW44" s="46"/>
      <c r="DX44" s="46"/>
      <c r="DY44" s="38">
        <f t="shared" si="19"/>
        <v>0</v>
      </c>
      <c r="DZ44" s="110">
        <v>0</v>
      </c>
      <c r="EA44" s="116"/>
      <c r="EB44" s="46"/>
      <c r="EC44" s="46"/>
      <c r="ED44" s="46"/>
      <c r="EE44" s="46"/>
      <c r="EF44" s="46"/>
      <c r="EG44" s="117"/>
      <c r="EH44" s="114">
        <f t="shared" si="20"/>
        <v>0</v>
      </c>
      <c r="EI44" s="74">
        <f t="shared" si="21"/>
        <v>0</v>
      </c>
      <c r="EJ44" s="75">
        <f t="shared" si="22"/>
        <v>0</v>
      </c>
      <c r="EK44" s="75">
        <f t="shared" si="23"/>
        <v>0</v>
      </c>
      <c r="EL44" s="75">
        <f t="shared" si="24"/>
        <v>0</v>
      </c>
      <c r="EM44" s="75">
        <f t="shared" si="25"/>
        <v>0</v>
      </c>
      <c r="EN44" s="75">
        <f t="shared" si="26"/>
        <v>0</v>
      </c>
      <c r="EO44" s="76">
        <f t="shared" si="27"/>
        <v>0</v>
      </c>
      <c r="EP44" s="71">
        <f t="shared" si="28"/>
        <v>0</v>
      </c>
      <c r="EQ44" s="71">
        <f t="shared" si="29"/>
        <v>0</v>
      </c>
      <c r="ER44" s="71">
        <f t="shared" si="30"/>
        <v>0</v>
      </c>
      <c r="ES44" s="71">
        <f t="shared" si="31"/>
        <v>0</v>
      </c>
      <c r="ET44" s="71">
        <f t="shared" si="33"/>
        <v>0</v>
      </c>
      <c r="EU44" s="71">
        <f t="shared" si="34"/>
        <v>0</v>
      </c>
      <c r="EV44" s="71">
        <f t="shared" si="35"/>
        <v>0</v>
      </c>
      <c r="EW44" s="15" t="e">
        <f t="shared" si="36"/>
        <v>#DIV/0!</v>
      </c>
      <c r="EX44" s="15" t="e">
        <f t="shared" si="37"/>
        <v>#DIV/0!</v>
      </c>
    </row>
    <row r="45" spans="1:154" ht="18" customHeight="1" thickBot="1" x14ac:dyDescent="0.3">
      <c r="A45" s="260"/>
      <c r="B45" s="261"/>
      <c r="C45" s="150">
        <v>0</v>
      </c>
      <c r="D45" s="37">
        <v>0</v>
      </c>
      <c r="E45" s="130"/>
      <c r="F45" s="131"/>
      <c r="G45" s="131"/>
      <c r="H45" s="131"/>
      <c r="I45" s="131"/>
      <c r="J45" s="131"/>
      <c r="K45" s="132"/>
      <c r="L45" s="38">
        <f t="shared" si="0"/>
        <v>0</v>
      </c>
      <c r="M45" s="37">
        <v>0</v>
      </c>
      <c r="N45" s="130"/>
      <c r="O45" s="131"/>
      <c r="P45" s="131"/>
      <c r="Q45" s="131"/>
      <c r="R45" s="131"/>
      <c r="S45" s="131"/>
      <c r="T45" s="132"/>
      <c r="U45" s="38">
        <f t="shared" si="1"/>
        <v>0</v>
      </c>
      <c r="V45" s="37">
        <v>0</v>
      </c>
      <c r="W45" s="46"/>
      <c r="X45" s="46"/>
      <c r="Y45" s="46"/>
      <c r="Z45" s="46"/>
      <c r="AA45" s="46"/>
      <c r="AB45" s="46"/>
      <c r="AC45" s="46"/>
      <c r="AD45" s="38">
        <f t="shared" si="2"/>
        <v>0</v>
      </c>
      <c r="AE45" s="37">
        <v>0</v>
      </c>
      <c r="AF45" s="46"/>
      <c r="AG45" s="46"/>
      <c r="AH45" s="46"/>
      <c r="AI45" s="46"/>
      <c r="AJ45" s="46"/>
      <c r="AK45" s="46"/>
      <c r="AL45" s="46"/>
      <c r="AM45" s="38">
        <f t="shared" si="9"/>
        <v>0</v>
      </c>
      <c r="AN45" s="37">
        <v>0</v>
      </c>
      <c r="AO45" s="46"/>
      <c r="AP45" s="46"/>
      <c r="AQ45" s="46"/>
      <c r="AR45" s="46"/>
      <c r="AS45" s="46"/>
      <c r="AT45" s="46"/>
      <c r="AU45" s="46"/>
      <c r="AV45" s="38">
        <f t="shared" si="10"/>
        <v>0</v>
      </c>
      <c r="AW45" s="37">
        <v>0</v>
      </c>
      <c r="AX45" s="46"/>
      <c r="AY45" s="46"/>
      <c r="AZ45" s="46"/>
      <c r="BA45" s="46"/>
      <c r="BB45" s="46"/>
      <c r="BC45" s="46"/>
      <c r="BD45" s="46"/>
      <c r="BE45" s="38">
        <f t="shared" si="11"/>
        <v>0</v>
      </c>
      <c r="BF45" s="37">
        <v>0</v>
      </c>
      <c r="BG45" s="46"/>
      <c r="BH45" s="46"/>
      <c r="BI45" s="46"/>
      <c r="BJ45" s="46"/>
      <c r="BK45" s="46"/>
      <c r="BL45" s="46"/>
      <c r="BM45" s="46"/>
      <c r="BN45" s="38">
        <f t="shared" si="12"/>
        <v>0</v>
      </c>
      <c r="BO45" s="37">
        <v>0</v>
      </c>
      <c r="BP45" s="46"/>
      <c r="BQ45" s="46"/>
      <c r="BR45" s="46"/>
      <c r="BS45" s="46"/>
      <c r="BT45" s="46"/>
      <c r="BU45" s="46"/>
      <c r="BV45" s="46"/>
      <c r="BW45" s="38">
        <f t="shared" si="13"/>
        <v>0</v>
      </c>
      <c r="BX45" s="37">
        <v>0</v>
      </c>
      <c r="BY45" s="46"/>
      <c r="BZ45" s="46"/>
      <c r="CA45" s="46"/>
      <c r="CB45" s="46"/>
      <c r="CC45" s="46"/>
      <c r="CD45" s="46"/>
      <c r="CE45" s="46"/>
      <c r="CF45" s="38">
        <f t="shared" si="14"/>
        <v>0</v>
      </c>
      <c r="CG45" s="37">
        <v>0</v>
      </c>
      <c r="CH45" s="46"/>
      <c r="CI45" s="46"/>
      <c r="CJ45" s="46"/>
      <c r="CK45" s="46"/>
      <c r="CL45" s="46"/>
      <c r="CM45" s="46"/>
      <c r="CN45" s="46"/>
      <c r="CO45" s="38">
        <f t="shared" si="15"/>
        <v>0</v>
      </c>
      <c r="CP45" s="37">
        <v>0</v>
      </c>
      <c r="CQ45" s="46"/>
      <c r="CR45" s="46"/>
      <c r="CS45" s="46"/>
      <c r="CT45" s="46"/>
      <c r="CU45" s="46"/>
      <c r="CV45" s="46"/>
      <c r="CW45" s="46"/>
      <c r="CX45" s="38">
        <f t="shared" si="16"/>
        <v>0</v>
      </c>
      <c r="CY45" s="37">
        <v>0</v>
      </c>
      <c r="CZ45" s="46"/>
      <c r="DA45" s="46"/>
      <c r="DB45" s="46"/>
      <c r="DC45" s="46"/>
      <c r="DD45" s="46"/>
      <c r="DE45" s="46"/>
      <c r="DF45" s="46"/>
      <c r="DG45" s="38">
        <f t="shared" si="17"/>
        <v>0</v>
      </c>
      <c r="DH45" s="37">
        <v>0</v>
      </c>
      <c r="DI45" s="46"/>
      <c r="DJ45" s="46"/>
      <c r="DK45" s="46"/>
      <c r="DL45" s="46"/>
      <c r="DM45" s="46"/>
      <c r="DN45" s="46"/>
      <c r="DO45" s="46"/>
      <c r="DP45" s="38">
        <f t="shared" si="18"/>
        <v>0</v>
      </c>
      <c r="DQ45" s="37">
        <v>0</v>
      </c>
      <c r="DR45" s="46"/>
      <c r="DS45" s="46"/>
      <c r="DT45" s="46"/>
      <c r="DU45" s="46"/>
      <c r="DV45" s="46"/>
      <c r="DW45" s="46"/>
      <c r="DX45" s="46"/>
      <c r="DY45" s="38">
        <f t="shared" si="19"/>
        <v>0</v>
      </c>
      <c r="DZ45" s="110">
        <v>0</v>
      </c>
      <c r="EA45" s="116"/>
      <c r="EB45" s="46"/>
      <c r="EC45" s="46"/>
      <c r="ED45" s="46"/>
      <c r="EE45" s="46"/>
      <c r="EF45" s="46"/>
      <c r="EG45" s="117"/>
      <c r="EH45" s="114">
        <f t="shared" si="20"/>
        <v>0</v>
      </c>
      <c r="EI45" s="74">
        <f t="shared" si="21"/>
        <v>0</v>
      </c>
      <c r="EJ45" s="75">
        <f t="shared" si="22"/>
        <v>0</v>
      </c>
      <c r="EK45" s="75">
        <f t="shared" si="23"/>
        <v>0</v>
      </c>
      <c r="EL45" s="75">
        <f t="shared" si="24"/>
        <v>0</v>
      </c>
      <c r="EM45" s="75">
        <f t="shared" si="25"/>
        <v>0</v>
      </c>
      <c r="EN45" s="75">
        <f t="shared" si="26"/>
        <v>0</v>
      </c>
      <c r="EO45" s="76">
        <f t="shared" si="27"/>
        <v>0</v>
      </c>
      <c r="EP45" s="71">
        <f t="shared" si="28"/>
        <v>0</v>
      </c>
      <c r="EQ45" s="71">
        <f t="shared" si="29"/>
        <v>0</v>
      </c>
      <c r="ER45" s="71">
        <f t="shared" si="30"/>
        <v>0</v>
      </c>
      <c r="ES45" s="71">
        <f t="shared" si="31"/>
        <v>0</v>
      </c>
      <c r="ET45" s="71">
        <f t="shared" si="33"/>
        <v>0</v>
      </c>
      <c r="EU45" s="71">
        <f t="shared" si="34"/>
        <v>0</v>
      </c>
      <c r="EV45" s="71">
        <f t="shared" si="35"/>
        <v>0</v>
      </c>
      <c r="EW45" s="15" t="e">
        <f t="shared" si="36"/>
        <v>#DIV/0!</v>
      </c>
      <c r="EX45" s="15" t="e">
        <f t="shared" si="37"/>
        <v>#DIV/0!</v>
      </c>
    </row>
    <row r="46" spans="1:154" ht="18" customHeight="1" thickBot="1" x14ac:dyDescent="0.3">
      <c r="A46" s="260" t="s">
        <v>80</v>
      </c>
      <c r="B46" s="262"/>
      <c r="C46" s="150">
        <f t="shared" si="38"/>
        <v>0</v>
      </c>
      <c r="D46" s="37">
        <v>0</v>
      </c>
      <c r="E46" s="130"/>
      <c r="F46" s="131"/>
      <c r="G46" s="131"/>
      <c r="H46" s="131"/>
      <c r="I46" s="131"/>
      <c r="J46" s="131"/>
      <c r="K46" s="132"/>
      <c r="L46" s="38">
        <f t="shared" si="0"/>
        <v>0</v>
      </c>
      <c r="M46" s="37">
        <v>0</v>
      </c>
      <c r="N46" s="130"/>
      <c r="O46" s="131"/>
      <c r="P46" s="131"/>
      <c r="Q46" s="131"/>
      <c r="R46" s="131"/>
      <c r="S46" s="131"/>
      <c r="T46" s="132"/>
      <c r="U46" s="38">
        <f t="shared" si="1"/>
        <v>0</v>
      </c>
      <c r="V46" s="37">
        <v>0</v>
      </c>
      <c r="W46" s="46"/>
      <c r="X46" s="46"/>
      <c r="Y46" s="46"/>
      <c r="Z46" s="46"/>
      <c r="AA46" s="46"/>
      <c r="AB46" s="46"/>
      <c r="AC46" s="46"/>
      <c r="AD46" s="38">
        <f t="shared" si="2"/>
        <v>0</v>
      </c>
      <c r="AE46" s="37">
        <v>0</v>
      </c>
      <c r="AF46" s="46"/>
      <c r="AG46" s="46"/>
      <c r="AH46" s="46"/>
      <c r="AI46" s="46"/>
      <c r="AJ46" s="46"/>
      <c r="AK46" s="46"/>
      <c r="AL46" s="46"/>
      <c r="AM46" s="38">
        <f t="shared" si="9"/>
        <v>0</v>
      </c>
      <c r="AN46" s="37">
        <v>0</v>
      </c>
      <c r="AO46" s="46"/>
      <c r="AP46" s="46"/>
      <c r="AQ46" s="46"/>
      <c r="AR46" s="46"/>
      <c r="AS46" s="46"/>
      <c r="AT46" s="46"/>
      <c r="AU46" s="46"/>
      <c r="AV46" s="38">
        <f t="shared" si="10"/>
        <v>0</v>
      </c>
      <c r="AW46" s="37">
        <v>0</v>
      </c>
      <c r="AX46" s="46"/>
      <c r="AY46" s="46"/>
      <c r="AZ46" s="46"/>
      <c r="BA46" s="46"/>
      <c r="BB46" s="46"/>
      <c r="BC46" s="46"/>
      <c r="BD46" s="46"/>
      <c r="BE46" s="38">
        <f t="shared" si="11"/>
        <v>0</v>
      </c>
      <c r="BF46" s="37">
        <v>0</v>
      </c>
      <c r="BG46" s="46"/>
      <c r="BH46" s="46"/>
      <c r="BI46" s="46"/>
      <c r="BJ46" s="46"/>
      <c r="BK46" s="46"/>
      <c r="BL46" s="46"/>
      <c r="BM46" s="46"/>
      <c r="BN46" s="38">
        <f t="shared" si="12"/>
        <v>0</v>
      </c>
      <c r="BO46" s="37">
        <v>0</v>
      </c>
      <c r="BP46" s="46"/>
      <c r="BQ46" s="46"/>
      <c r="BR46" s="46"/>
      <c r="BS46" s="46"/>
      <c r="BT46" s="46"/>
      <c r="BU46" s="46"/>
      <c r="BV46" s="46"/>
      <c r="BW46" s="38">
        <f t="shared" si="13"/>
        <v>0</v>
      </c>
      <c r="BX46" s="37">
        <v>0</v>
      </c>
      <c r="BY46" s="46"/>
      <c r="BZ46" s="46"/>
      <c r="CA46" s="46"/>
      <c r="CB46" s="46"/>
      <c r="CC46" s="46"/>
      <c r="CD46" s="46"/>
      <c r="CE46" s="46"/>
      <c r="CF46" s="38">
        <f t="shared" si="14"/>
        <v>0</v>
      </c>
      <c r="CG46" s="37">
        <v>0</v>
      </c>
      <c r="CH46" s="46"/>
      <c r="CI46" s="46"/>
      <c r="CJ46" s="46"/>
      <c r="CK46" s="46"/>
      <c r="CL46" s="46"/>
      <c r="CM46" s="46"/>
      <c r="CN46" s="46"/>
      <c r="CO46" s="38">
        <f t="shared" si="15"/>
        <v>0</v>
      </c>
      <c r="CP46" s="37">
        <v>0</v>
      </c>
      <c r="CQ46" s="46"/>
      <c r="CR46" s="46"/>
      <c r="CS46" s="46"/>
      <c r="CT46" s="46"/>
      <c r="CU46" s="46"/>
      <c r="CV46" s="46"/>
      <c r="CW46" s="46"/>
      <c r="CX46" s="38">
        <f t="shared" si="16"/>
        <v>0</v>
      </c>
      <c r="CY46" s="37">
        <v>0</v>
      </c>
      <c r="CZ46" s="46"/>
      <c r="DA46" s="46"/>
      <c r="DB46" s="46"/>
      <c r="DC46" s="46"/>
      <c r="DD46" s="46"/>
      <c r="DE46" s="46"/>
      <c r="DF46" s="46"/>
      <c r="DG46" s="38">
        <f t="shared" si="17"/>
        <v>0</v>
      </c>
      <c r="DH46" s="37">
        <v>0</v>
      </c>
      <c r="DI46" s="46"/>
      <c r="DJ46" s="46"/>
      <c r="DK46" s="46"/>
      <c r="DL46" s="46"/>
      <c r="DM46" s="46"/>
      <c r="DN46" s="46"/>
      <c r="DO46" s="46"/>
      <c r="DP46" s="38">
        <f t="shared" si="18"/>
        <v>0</v>
      </c>
      <c r="DQ46" s="37">
        <v>0</v>
      </c>
      <c r="DR46" s="46"/>
      <c r="DS46" s="46"/>
      <c r="DT46" s="46"/>
      <c r="DU46" s="46"/>
      <c r="DV46" s="46"/>
      <c r="DW46" s="46"/>
      <c r="DX46" s="46"/>
      <c r="DY46" s="38">
        <f t="shared" si="19"/>
        <v>0</v>
      </c>
      <c r="DZ46" s="110">
        <v>0</v>
      </c>
      <c r="EA46" s="116"/>
      <c r="EB46" s="46"/>
      <c r="EC46" s="46"/>
      <c r="ED46" s="46"/>
      <c r="EE46" s="46"/>
      <c r="EF46" s="46"/>
      <c r="EG46" s="117"/>
      <c r="EH46" s="114">
        <f t="shared" si="20"/>
        <v>0</v>
      </c>
      <c r="EI46" s="74">
        <f t="shared" si="21"/>
        <v>0</v>
      </c>
      <c r="EJ46" s="75">
        <f t="shared" si="22"/>
        <v>0</v>
      </c>
      <c r="EK46" s="75">
        <f t="shared" si="23"/>
        <v>0</v>
      </c>
      <c r="EL46" s="75">
        <f t="shared" si="24"/>
        <v>0</v>
      </c>
      <c r="EM46" s="75">
        <f t="shared" si="25"/>
        <v>0</v>
      </c>
      <c r="EN46" s="75">
        <f t="shared" si="26"/>
        <v>0</v>
      </c>
      <c r="EO46" s="76">
        <f t="shared" si="27"/>
        <v>0</v>
      </c>
      <c r="EP46" s="71">
        <f t="shared" si="28"/>
        <v>0</v>
      </c>
      <c r="EQ46" s="71">
        <f t="shared" si="29"/>
        <v>0</v>
      </c>
      <c r="ER46" s="71">
        <f t="shared" si="30"/>
        <v>0</v>
      </c>
      <c r="ES46" s="71">
        <f t="shared" si="31"/>
        <v>0</v>
      </c>
      <c r="ET46" s="71">
        <f t="shared" si="33"/>
        <v>0</v>
      </c>
      <c r="EU46" s="71">
        <f t="shared" si="34"/>
        <v>0</v>
      </c>
      <c r="EV46" s="71">
        <f t="shared" si="35"/>
        <v>0</v>
      </c>
      <c r="EW46" s="15" t="e">
        <f t="shared" si="36"/>
        <v>#DIV/0!</v>
      </c>
      <c r="EX46" s="15" t="e">
        <f t="shared" si="37"/>
        <v>#DIV/0!</v>
      </c>
    </row>
    <row r="47" spans="1:154" ht="18" customHeight="1" thickBot="1" x14ac:dyDescent="0.3">
      <c r="A47" s="260"/>
      <c r="B47" s="262"/>
      <c r="C47" s="150">
        <v>0</v>
      </c>
      <c r="D47" s="37">
        <v>0</v>
      </c>
      <c r="E47" s="130"/>
      <c r="F47" s="131"/>
      <c r="G47" s="131"/>
      <c r="H47" s="131"/>
      <c r="I47" s="131"/>
      <c r="J47" s="131"/>
      <c r="K47" s="132"/>
      <c r="L47" s="38">
        <f t="shared" si="0"/>
        <v>0</v>
      </c>
      <c r="M47" s="37">
        <v>0</v>
      </c>
      <c r="N47" s="130"/>
      <c r="O47" s="131"/>
      <c r="P47" s="131"/>
      <c r="Q47" s="131"/>
      <c r="R47" s="131"/>
      <c r="S47" s="131"/>
      <c r="T47" s="132"/>
      <c r="U47" s="38">
        <f t="shared" si="1"/>
        <v>0</v>
      </c>
      <c r="V47" s="37">
        <v>0</v>
      </c>
      <c r="W47" s="46"/>
      <c r="X47" s="46"/>
      <c r="Y47" s="46"/>
      <c r="Z47" s="46"/>
      <c r="AA47" s="46"/>
      <c r="AB47" s="46"/>
      <c r="AC47" s="46"/>
      <c r="AD47" s="38">
        <f t="shared" si="2"/>
        <v>0</v>
      </c>
      <c r="AE47" s="37">
        <v>0</v>
      </c>
      <c r="AF47" s="46"/>
      <c r="AG47" s="46"/>
      <c r="AH47" s="46"/>
      <c r="AI47" s="46"/>
      <c r="AJ47" s="46"/>
      <c r="AK47" s="46"/>
      <c r="AL47" s="46"/>
      <c r="AM47" s="38">
        <f t="shared" si="9"/>
        <v>0</v>
      </c>
      <c r="AN47" s="37">
        <v>0</v>
      </c>
      <c r="AO47" s="46"/>
      <c r="AP47" s="46"/>
      <c r="AQ47" s="46"/>
      <c r="AR47" s="46"/>
      <c r="AS47" s="46"/>
      <c r="AT47" s="46"/>
      <c r="AU47" s="46"/>
      <c r="AV47" s="38">
        <f t="shared" si="10"/>
        <v>0</v>
      </c>
      <c r="AW47" s="37">
        <v>0</v>
      </c>
      <c r="AX47" s="46"/>
      <c r="AY47" s="46"/>
      <c r="AZ47" s="46"/>
      <c r="BA47" s="46"/>
      <c r="BB47" s="46"/>
      <c r="BC47" s="46"/>
      <c r="BD47" s="46"/>
      <c r="BE47" s="38">
        <f t="shared" si="11"/>
        <v>0</v>
      </c>
      <c r="BF47" s="37">
        <v>0</v>
      </c>
      <c r="BG47" s="46"/>
      <c r="BH47" s="46"/>
      <c r="BI47" s="46"/>
      <c r="BJ47" s="46"/>
      <c r="BK47" s="46"/>
      <c r="BL47" s="46"/>
      <c r="BM47" s="46"/>
      <c r="BN47" s="38">
        <f t="shared" si="12"/>
        <v>0</v>
      </c>
      <c r="BO47" s="37">
        <v>0</v>
      </c>
      <c r="BP47" s="46"/>
      <c r="BQ47" s="46"/>
      <c r="BR47" s="46"/>
      <c r="BS47" s="46"/>
      <c r="BT47" s="46"/>
      <c r="BU47" s="46"/>
      <c r="BV47" s="46"/>
      <c r="BW47" s="38">
        <f t="shared" si="13"/>
        <v>0</v>
      </c>
      <c r="BX47" s="37">
        <v>0</v>
      </c>
      <c r="BY47" s="46"/>
      <c r="BZ47" s="46"/>
      <c r="CA47" s="46"/>
      <c r="CB47" s="46"/>
      <c r="CC47" s="46"/>
      <c r="CD47" s="46"/>
      <c r="CE47" s="46"/>
      <c r="CF47" s="38">
        <f t="shared" si="14"/>
        <v>0</v>
      </c>
      <c r="CG47" s="37">
        <v>0</v>
      </c>
      <c r="CH47" s="46"/>
      <c r="CI47" s="46"/>
      <c r="CJ47" s="46"/>
      <c r="CK47" s="46"/>
      <c r="CL47" s="46"/>
      <c r="CM47" s="46"/>
      <c r="CN47" s="46"/>
      <c r="CO47" s="38">
        <f t="shared" si="15"/>
        <v>0</v>
      </c>
      <c r="CP47" s="37">
        <v>0</v>
      </c>
      <c r="CQ47" s="46"/>
      <c r="CR47" s="46"/>
      <c r="CS47" s="46"/>
      <c r="CT47" s="46"/>
      <c r="CU47" s="46"/>
      <c r="CV47" s="46"/>
      <c r="CW47" s="46"/>
      <c r="CX47" s="38">
        <f t="shared" si="16"/>
        <v>0</v>
      </c>
      <c r="CY47" s="37">
        <v>0</v>
      </c>
      <c r="CZ47" s="46"/>
      <c r="DA47" s="46"/>
      <c r="DB47" s="46"/>
      <c r="DC47" s="46"/>
      <c r="DD47" s="46"/>
      <c r="DE47" s="46"/>
      <c r="DF47" s="46"/>
      <c r="DG47" s="38">
        <f t="shared" si="17"/>
        <v>0</v>
      </c>
      <c r="DH47" s="37">
        <v>0</v>
      </c>
      <c r="DI47" s="46"/>
      <c r="DJ47" s="46"/>
      <c r="DK47" s="46"/>
      <c r="DL47" s="46"/>
      <c r="DM47" s="46"/>
      <c r="DN47" s="46"/>
      <c r="DO47" s="46"/>
      <c r="DP47" s="38">
        <f t="shared" si="18"/>
        <v>0</v>
      </c>
      <c r="DQ47" s="37">
        <v>0</v>
      </c>
      <c r="DR47" s="46"/>
      <c r="DS47" s="46"/>
      <c r="DT47" s="46"/>
      <c r="DU47" s="46"/>
      <c r="DV47" s="46"/>
      <c r="DW47" s="46"/>
      <c r="DX47" s="46"/>
      <c r="DY47" s="38">
        <f t="shared" si="19"/>
        <v>0</v>
      </c>
      <c r="DZ47" s="110">
        <v>0</v>
      </c>
      <c r="EA47" s="116"/>
      <c r="EB47" s="46"/>
      <c r="EC47" s="46"/>
      <c r="ED47" s="46"/>
      <c r="EE47" s="46"/>
      <c r="EF47" s="46"/>
      <c r="EG47" s="117"/>
      <c r="EH47" s="114">
        <f t="shared" si="20"/>
        <v>0</v>
      </c>
      <c r="EI47" s="74">
        <f t="shared" si="21"/>
        <v>0</v>
      </c>
      <c r="EJ47" s="75">
        <f t="shared" si="22"/>
        <v>0</v>
      </c>
      <c r="EK47" s="75">
        <f t="shared" si="23"/>
        <v>0</v>
      </c>
      <c r="EL47" s="75">
        <f t="shared" si="24"/>
        <v>0</v>
      </c>
      <c r="EM47" s="75">
        <f t="shared" si="25"/>
        <v>0</v>
      </c>
      <c r="EN47" s="75">
        <f t="shared" si="26"/>
        <v>0</v>
      </c>
      <c r="EO47" s="76">
        <f t="shared" si="27"/>
        <v>0</v>
      </c>
      <c r="EP47" s="71">
        <f t="shared" si="28"/>
        <v>0</v>
      </c>
      <c r="EQ47" s="71">
        <f t="shared" si="29"/>
        <v>0</v>
      </c>
      <c r="ER47" s="71">
        <f t="shared" si="30"/>
        <v>0</v>
      </c>
      <c r="ES47" s="71">
        <f t="shared" si="31"/>
        <v>0</v>
      </c>
      <c r="ET47" s="71">
        <f t="shared" si="33"/>
        <v>0</v>
      </c>
      <c r="EU47" s="71">
        <f t="shared" si="34"/>
        <v>0</v>
      </c>
      <c r="EV47" s="71">
        <f t="shared" si="35"/>
        <v>0</v>
      </c>
      <c r="EW47" s="15" t="e">
        <f t="shared" si="36"/>
        <v>#DIV/0!</v>
      </c>
      <c r="EX47" s="15" t="e">
        <f t="shared" si="37"/>
        <v>#DIV/0!</v>
      </c>
    </row>
    <row r="48" spans="1:154" ht="18" customHeight="1" thickBot="1" x14ac:dyDescent="0.3">
      <c r="A48" s="260" t="s">
        <v>81</v>
      </c>
      <c r="B48" s="261"/>
      <c r="C48" s="150">
        <f t="shared" si="38"/>
        <v>0</v>
      </c>
      <c r="D48" s="37">
        <v>0</v>
      </c>
      <c r="E48" s="130"/>
      <c r="F48" s="131"/>
      <c r="G48" s="131"/>
      <c r="H48" s="131"/>
      <c r="I48" s="131"/>
      <c r="J48" s="131"/>
      <c r="K48" s="132"/>
      <c r="L48" s="38">
        <f t="shared" si="0"/>
        <v>0</v>
      </c>
      <c r="M48" s="37">
        <v>0</v>
      </c>
      <c r="N48" s="130"/>
      <c r="O48" s="131"/>
      <c r="P48" s="131"/>
      <c r="Q48" s="131"/>
      <c r="R48" s="131"/>
      <c r="S48" s="131"/>
      <c r="T48" s="132"/>
      <c r="U48" s="38">
        <f t="shared" si="1"/>
        <v>0</v>
      </c>
      <c r="V48" s="37">
        <v>0</v>
      </c>
      <c r="W48" s="46"/>
      <c r="X48" s="46"/>
      <c r="Y48" s="46"/>
      <c r="Z48" s="46"/>
      <c r="AA48" s="46"/>
      <c r="AB48" s="46"/>
      <c r="AC48" s="46"/>
      <c r="AD48" s="38">
        <f t="shared" si="2"/>
        <v>0</v>
      </c>
      <c r="AE48" s="37">
        <v>0</v>
      </c>
      <c r="AF48" s="46"/>
      <c r="AG48" s="46"/>
      <c r="AH48" s="46"/>
      <c r="AI48" s="46"/>
      <c r="AJ48" s="46"/>
      <c r="AK48" s="46"/>
      <c r="AL48" s="46"/>
      <c r="AM48" s="38">
        <f t="shared" si="9"/>
        <v>0</v>
      </c>
      <c r="AN48" s="37">
        <v>0</v>
      </c>
      <c r="AO48" s="46"/>
      <c r="AP48" s="46"/>
      <c r="AQ48" s="46"/>
      <c r="AR48" s="46"/>
      <c r="AS48" s="46"/>
      <c r="AT48" s="46"/>
      <c r="AU48" s="46"/>
      <c r="AV48" s="38">
        <f t="shared" si="10"/>
        <v>0</v>
      </c>
      <c r="AW48" s="37">
        <v>0</v>
      </c>
      <c r="AX48" s="46"/>
      <c r="AY48" s="46"/>
      <c r="AZ48" s="46"/>
      <c r="BA48" s="46"/>
      <c r="BB48" s="46"/>
      <c r="BC48" s="46"/>
      <c r="BD48" s="46"/>
      <c r="BE48" s="38">
        <f t="shared" si="11"/>
        <v>0</v>
      </c>
      <c r="BF48" s="37">
        <v>0</v>
      </c>
      <c r="BG48" s="46"/>
      <c r="BH48" s="46"/>
      <c r="BI48" s="46"/>
      <c r="BJ48" s="46"/>
      <c r="BK48" s="46"/>
      <c r="BL48" s="46"/>
      <c r="BM48" s="46"/>
      <c r="BN48" s="38">
        <f t="shared" si="12"/>
        <v>0</v>
      </c>
      <c r="BO48" s="37">
        <v>0</v>
      </c>
      <c r="BP48" s="46"/>
      <c r="BQ48" s="46"/>
      <c r="BR48" s="46"/>
      <c r="BS48" s="46"/>
      <c r="BT48" s="46"/>
      <c r="BU48" s="46"/>
      <c r="BV48" s="46"/>
      <c r="BW48" s="38">
        <f t="shared" si="13"/>
        <v>0</v>
      </c>
      <c r="BX48" s="37">
        <v>0</v>
      </c>
      <c r="BY48" s="46"/>
      <c r="BZ48" s="46"/>
      <c r="CA48" s="46"/>
      <c r="CB48" s="46"/>
      <c r="CC48" s="46"/>
      <c r="CD48" s="46"/>
      <c r="CE48" s="46"/>
      <c r="CF48" s="38">
        <f t="shared" si="14"/>
        <v>0</v>
      </c>
      <c r="CG48" s="37">
        <v>0</v>
      </c>
      <c r="CH48" s="46"/>
      <c r="CI48" s="46"/>
      <c r="CJ48" s="46"/>
      <c r="CK48" s="46"/>
      <c r="CL48" s="46"/>
      <c r="CM48" s="46"/>
      <c r="CN48" s="46"/>
      <c r="CO48" s="38">
        <f t="shared" si="15"/>
        <v>0</v>
      </c>
      <c r="CP48" s="37">
        <v>0</v>
      </c>
      <c r="CQ48" s="46"/>
      <c r="CR48" s="46"/>
      <c r="CS48" s="46"/>
      <c r="CT48" s="46"/>
      <c r="CU48" s="46"/>
      <c r="CV48" s="46"/>
      <c r="CW48" s="46"/>
      <c r="CX48" s="38">
        <f t="shared" si="16"/>
        <v>0</v>
      </c>
      <c r="CY48" s="37">
        <v>0</v>
      </c>
      <c r="CZ48" s="46"/>
      <c r="DA48" s="46"/>
      <c r="DB48" s="46"/>
      <c r="DC48" s="46"/>
      <c r="DD48" s="46"/>
      <c r="DE48" s="46"/>
      <c r="DF48" s="46"/>
      <c r="DG48" s="38">
        <f t="shared" si="17"/>
        <v>0</v>
      </c>
      <c r="DH48" s="37">
        <v>0</v>
      </c>
      <c r="DI48" s="46"/>
      <c r="DJ48" s="46"/>
      <c r="DK48" s="46"/>
      <c r="DL48" s="46"/>
      <c r="DM48" s="46"/>
      <c r="DN48" s="46"/>
      <c r="DO48" s="46"/>
      <c r="DP48" s="38">
        <f t="shared" si="18"/>
        <v>0</v>
      </c>
      <c r="DQ48" s="37">
        <v>0</v>
      </c>
      <c r="DR48" s="46"/>
      <c r="DS48" s="46"/>
      <c r="DT48" s="46"/>
      <c r="DU48" s="46"/>
      <c r="DV48" s="46"/>
      <c r="DW48" s="46"/>
      <c r="DX48" s="46"/>
      <c r="DY48" s="38">
        <f t="shared" si="19"/>
        <v>0</v>
      </c>
      <c r="DZ48" s="110">
        <v>0</v>
      </c>
      <c r="EA48" s="116"/>
      <c r="EB48" s="46"/>
      <c r="EC48" s="46"/>
      <c r="ED48" s="46"/>
      <c r="EE48" s="46"/>
      <c r="EF48" s="46"/>
      <c r="EG48" s="117"/>
      <c r="EH48" s="114">
        <f t="shared" si="20"/>
        <v>0</v>
      </c>
      <c r="EI48" s="74">
        <f t="shared" si="21"/>
        <v>0</v>
      </c>
      <c r="EJ48" s="75">
        <f t="shared" si="22"/>
        <v>0</v>
      </c>
      <c r="EK48" s="75">
        <f t="shared" si="23"/>
        <v>0</v>
      </c>
      <c r="EL48" s="75">
        <f t="shared" si="24"/>
        <v>0</v>
      </c>
      <c r="EM48" s="75">
        <f t="shared" si="25"/>
        <v>0</v>
      </c>
      <c r="EN48" s="75">
        <f t="shared" si="26"/>
        <v>0</v>
      </c>
      <c r="EO48" s="76">
        <f t="shared" si="27"/>
        <v>0</v>
      </c>
      <c r="EP48" s="71">
        <f t="shared" si="28"/>
        <v>0</v>
      </c>
      <c r="EQ48" s="71">
        <f t="shared" si="29"/>
        <v>0</v>
      </c>
      <c r="ER48" s="71">
        <f t="shared" si="30"/>
        <v>0</v>
      </c>
      <c r="ES48" s="71">
        <f t="shared" si="31"/>
        <v>0</v>
      </c>
      <c r="ET48" s="71">
        <f t="shared" si="33"/>
        <v>0</v>
      </c>
      <c r="EU48" s="71">
        <f t="shared" si="34"/>
        <v>0</v>
      </c>
      <c r="EV48" s="71">
        <f t="shared" si="35"/>
        <v>0</v>
      </c>
      <c r="EW48" s="15" t="e">
        <f t="shared" si="36"/>
        <v>#DIV/0!</v>
      </c>
      <c r="EX48" s="15" t="e">
        <f t="shared" si="37"/>
        <v>#DIV/0!</v>
      </c>
    </row>
    <row r="49" spans="1:154" ht="18" customHeight="1" thickBot="1" x14ac:dyDescent="0.3">
      <c r="A49" s="260"/>
      <c r="B49" s="261"/>
      <c r="C49" s="150">
        <v>0</v>
      </c>
      <c r="D49" s="37">
        <v>0</v>
      </c>
      <c r="E49" s="130"/>
      <c r="F49" s="131"/>
      <c r="G49" s="131"/>
      <c r="H49" s="131"/>
      <c r="I49" s="131"/>
      <c r="J49" s="131"/>
      <c r="K49" s="132"/>
      <c r="L49" s="38">
        <f t="shared" si="0"/>
        <v>0</v>
      </c>
      <c r="M49" s="37">
        <v>0</v>
      </c>
      <c r="N49" s="130"/>
      <c r="O49" s="131"/>
      <c r="P49" s="131"/>
      <c r="Q49" s="131"/>
      <c r="R49" s="131"/>
      <c r="S49" s="131"/>
      <c r="T49" s="132"/>
      <c r="U49" s="38">
        <f t="shared" si="1"/>
        <v>0</v>
      </c>
      <c r="V49" s="37">
        <v>0</v>
      </c>
      <c r="W49" s="46"/>
      <c r="X49" s="46"/>
      <c r="Y49" s="46"/>
      <c r="Z49" s="46"/>
      <c r="AA49" s="46"/>
      <c r="AB49" s="46"/>
      <c r="AC49" s="46"/>
      <c r="AD49" s="38">
        <f t="shared" si="2"/>
        <v>0</v>
      </c>
      <c r="AE49" s="37">
        <v>0</v>
      </c>
      <c r="AF49" s="46"/>
      <c r="AG49" s="46"/>
      <c r="AH49" s="46"/>
      <c r="AI49" s="46"/>
      <c r="AJ49" s="46"/>
      <c r="AK49" s="46"/>
      <c r="AL49" s="46"/>
      <c r="AM49" s="38">
        <f t="shared" si="9"/>
        <v>0</v>
      </c>
      <c r="AN49" s="37">
        <v>0</v>
      </c>
      <c r="AO49" s="46"/>
      <c r="AP49" s="46"/>
      <c r="AQ49" s="46"/>
      <c r="AR49" s="46"/>
      <c r="AS49" s="46"/>
      <c r="AT49" s="46"/>
      <c r="AU49" s="46"/>
      <c r="AV49" s="38">
        <f t="shared" si="10"/>
        <v>0</v>
      </c>
      <c r="AW49" s="37">
        <v>0</v>
      </c>
      <c r="AX49" s="46"/>
      <c r="AY49" s="46"/>
      <c r="AZ49" s="46"/>
      <c r="BA49" s="46"/>
      <c r="BB49" s="46"/>
      <c r="BC49" s="46"/>
      <c r="BD49" s="46"/>
      <c r="BE49" s="38">
        <f t="shared" si="11"/>
        <v>0</v>
      </c>
      <c r="BF49" s="37">
        <v>0</v>
      </c>
      <c r="BG49" s="46"/>
      <c r="BH49" s="46"/>
      <c r="BI49" s="46"/>
      <c r="BJ49" s="46"/>
      <c r="BK49" s="46"/>
      <c r="BL49" s="46"/>
      <c r="BM49" s="46"/>
      <c r="BN49" s="38">
        <f t="shared" si="12"/>
        <v>0</v>
      </c>
      <c r="BO49" s="37">
        <v>0</v>
      </c>
      <c r="BP49" s="46"/>
      <c r="BQ49" s="46"/>
      <c r="BR49" s="46"/>
      <c r="BS49" s="46"/>
      <c r="BT49" s="46"/>
      <c r="BU49" s="46"/>
      <c r="BV49" s="46"/>
      <c r="BW49" s="38">
        <f t="shared" si="13"/>
        <v>0</v>
      </c>
      <c r="BX49" s="37">
        <v>0</v>
      </c>
      <c r="BY49" s="46"/>
      <c r="BZ49" s="46"/>
      <c r="CA49" s="46"/>
      <c r="CB49" s="46"/>
      <c r="CC49" s="46"/>
      <c r="CD49" s="46"/>
      <c r="CE49" s="46"/>
      <c r="CF49" s="38">
        <f t="shared" si="14"/>
        <v>0</v>
      </c>
      <c r="CG49" s="37">
        <v>0</v>
      </c>
      <c r="CH49" s="46"/>
      <c r="CI49" s="46"/>
      <c r="CJ49" s="46"/>
      <c r="CK49" s="46"/>
      <c r="CL49" s="46"/>
      <c r="CM49" s="46"/>
      <c r="CN49" s="46"/>
      <c r="CO49" s="38">
        <f t="shared" si="15"/>
        <v>0</v>
      </c>
      <c r="CP49" s="37">
        <v>0</v>
      </c>
      <c r="CQ49" s="46"/>
      <c r="CR49" s="46"/>
      <c r="CS49" s="46"/>
      <c r="CT49" s="46"/>
      <c r="CU49" s="46"/>
      <c r="CV49" s="46"/>
      <c r="CW49" s="46"/>
      <c r="CX49" s="38">
        <f t="shared" si="16"/>
        <v>0</v>
      </c>
      <c r="CY49" s="37">
        <v>0</v>
      </c>
      <c r="CZ49" s="46"/>
      <c r="DA49" s="46"/>
      <c r="DB49" s="46"/>
      <c r="DC49" s="46"/>
      <c r="DD49" s="46"/>
      <c r="DE49" s="46"/>
      <c r="DF49" s="46"/>
      <c r="DG49" s="38">
        <f t="shared" si="17"/>
        <v>0</v>
      </c>
      <c r="DH49" s="37">
        <v>0</v>
      </c>
      <c r="DI49" s="46"/>
      <c r="DJ49" s="46"/>
      <c r="DK49" s="46"/>
      <c r="DL49" s="46"/>
      <c r="DM49" s="46"/>
      <c r="DN49" s="46"/>
      <c r="DO49" s="46"/>
      <c r="DP49" s="38">
        <f t="shared" si="18"/>
        <v>0</v>
      </c>
      <c r="DQ49" s="37">
        <v>0</v>
      </c>
      <c r="DR49" s="46"/>
      <c r="DS49" s="46"/>
      <c r="DT49" s="46"/>
      <c r="DU49" s="46"/>
      <c r="DV49" s="46"/>
      <c r="DW49" s="46"/>
      <c r="DX49" s="46"/>
      <c r="DY49" s="38">
        <f t="shared" si="19"/>
        <v>0</v>
      </c>
      <c r="DZ49" s="110">
        <v>0</v>
      </c>
      <c r="EA49" s="116"/>
      <c r="EB49" s="46"/>
      <c r="EC49" s="46"/>
      <c r="ED49" s="46"/>
      <c r="EE49" s="46"/>
      <c r="EF49" s="46"/>
      <c r="EG49" s="117"/>
      <c r="EH49" s="114">
        <f t="shared" si="20"/>
        <v>0</v>
      </c>
      <c r="EI49" s="74">
        <f t="shared" si="21"/>
        <v>0</v>
      </c>
      <c r="EJ49" s="75">
        <f t="shared" si="22"/>
        <v>0</v>
      </c>
      <c r="EK49" s="75">
        <f t="shared" si="23"/>
        <v>0</v>
      </c>
      <c r="EL49" s="75">
        <f t="shared" si="24"/>
        <v>0</v>
      </c>
      <c r="EM49" s="75">
        <f t="shared" si="25"/>
        <v>0</v>
      </c>
      <c r="EN49" s="75">
        <f t="shared" si="26"/>
        <v>0</v>
      </c>
      <c r="EO49" s="76">
        <f t="shared" si="27"/>
        <v>0</v>
      </c>
      <c r="EP49" s="71">
        <f t="shared" si="28"/>
        <v>0</v>
      </c>
      <c r="EQ49" s="71">
        <f t="shared" si="29"/>
        <v>0</v>
      </c>
      <c r="ER49" s="71">
        <f t="shared" si="30"/>
        <v>0</v>
      </c>
      <c r="ES49" s="71">
        <f t="shared" si="31"/>
        <v>0</v>
      </c>
      <c r="ET49" s="71">
        <f t="shared" si="33"/>
        <v>0</v>
      </c>
      <c r="EU49" s="71">
        <f t="shared" si="34"/>
        <v>0</v>
      </c>
      <c r="EV49" s="71">
        <f t="shared" si="35"/>
        <v>0</v>
      </c>
      <c r="EW49" s="15" t="e">
        <f t="shared" si="36"/>
        <v>#DIV/0!</v>
      </c>
      <c r="EX49" s="15" t="e">
        <f t="shared" si="37"/>
        <v>#DIV/0!</v>
      </c>
    </row>
    <row r="50" spans="1:154" ht="18" customHeight="1" thickBot="1" x14ac:dyDescent="0.3">
      <c r="A50" s="260" t="s">
        <v>82</v>
      </c>
      <c r="B50" s="261"/>
      <c r="C50" s="150">
        <f t="shared" si="38"/>
        <v>0</v>
      </c>
      <c r="D50" s="37">
        <v>0</v>
      </c>
      <c r="E50" s="130"/>
      <c r="F50" s="131"/>
      <c r="G50" s="131"/>
      <c r="H50" s="131"/>
      <c r="I50" s="131"/>
      <c r="J50" s="131"/>
      <c r="K50" s="132"/>
      <c r="L50" s="38">
        <f t="shared" si="0"/>
        <v>0</v>
      </c>
      <c r="M50" s="37">
        <v>0</v>
      </c>
      <c r="N50" s="130"/>
      <c r="O50" s="131"/>
      <c r="P50" s="131"/>
      <c r="Q50" s="131"/>
      <c r="R50" s="131"/>
      <c r="S50" s="131"/>
      <c r="T50" s="132"/>
      <c r="U50" s="38">
        <f t="shared" si="1"/>
        <v>0</v>
      </c>
      <c r="V50" s="37">
        <v>0</v>
      </c>
      <c r="W50" s="46"/>
      <c r="X50" s="46"/>
      <c r="Y50" s="46"/>
      <c r="Z50" s="46"/>
      <c r="AA50" s="46"/>
      <c r="AB50" s="46"/>
      <c r="AC50" s="46"/>
      <c r="AD50" s="38">
        <f t="shared" si="2"/>
        <v>0</v>
      </c>
      <c r="AE50" s="37">
        <v>0</v>
      </c>
      <c r="AF50" s="46"/>
      <c r="AG50" s="46"/>
      <c r="AH50" s="46"/>
      <c r="AI50" s="46"/>
      <c r="AJ50" s="46"/>
      <c r="AK50" s="46"/>
      <c r="AL50" s="46"/>
      <c r="AM50" s="38">
        <f t="shared" si="9"/>
        <v>0</v>
      </c>
      <c r="AN50" s="37">
        <v>0</v>
      </c>
      <c r="AO50" s="46"/>
      <c r="AP50" s="46"/>
      <c r="AQ50" s="46"/>
      <c r="AR50" s="46"/>
      <c r="AS50" s="46"/>
      <c r="AT50" s="46"/>
      <c r="AU50" s="46"/>
      <c r="AV50" s="38">
        <f t="shared" si="10"/>
        <v>0</v>
      </c>
      <c r="AW50" s="37">
        <v>0</v>
      </c>
      <c r="AX50" s="46"/>
      <c r="AY50" s="46"/>
      <c r="AZ50" s="46"/>
      <c r="BA50" s="46"/>
      <c r="BB50" s="46"/>
      <c r="BC50" s="46"/>
      <c r="BD50" s="46"/>
      <c r="BE50" s="38">
        <f t="shared" si="11"/>
        <v>0</v>
      </c>
      <c r="BF50" s="37">
        <v>0</v>
      </c>
      <c r="BG50" s="46"/>
      <c r="BH50" s="46"/>
      <c r="BI50" s="46"/>
      <c r="BJ50" s="46"/>
      <c r="BK50" s="46"/>
      <c r="BL50" s="46"/>
      <c r="BM50" s="46"/>
      <c r="BN50" s="38">
        <f t="shared" si="12"/>
        <v>0</v>
      </c>
      <c r="BO50" s="37">
        <v>0</v>
      </c>
      <c r="BP50" s="46"/>
      <c r="BQ50" s="46"/>
      <c r="BR50" s="46"/>
      <c r="BS50" s="46"/>
      <c r="BT50" s="46"/>
      <c r="BU50" s="46"/>
      <c r="BV50" s="46"/>
      <c r="BW50" s="38">
        <f t="shared" si="13"/>
        <v>0</v>
      </c>
      <c r="BX50" s="37">
        <v>0</v>
      </c>
      <c r="BY50" s="46"/>
      <c r="BZ50" s="46"/>
      <c r="CA50" s="46"/>
      <c r="CB50" s="46"/>
      <c r="CC50" s="46"/>
      <c r="CD50" s="46"/>
      <c r="CE50" s="46"/>
      <c r="CF50" s="38">
        <f t="shared" si="14"/>
        <v>0</v>
      </c>
      <c r="CG50" s="37">
        <v>0</v>
      </c>
      <c r="CH50" s="46"/>
      <c r="CI50" s="46"/>
      <c r="CJ50" s="46"/>
      <c r="CK50" s="46"/>
      <c r="CL50" s="46"/>
      <c r="CM50" s="46"/>
      <c r="CN50" s="46"/>
      <c r="CO50" s="38">
        <f t="shared" si="15"/>
        <v>0</v>
      </c>
      <c r="CP50" s="37">
        <v>0</v>
      </c>
      <c r="CQ50" s="46"/>
      <c r="CR50" s="46"/>
      <c r="CS50" s="46"/>
      <c r="CT50" s="46"/>
      <c r="CU50" s="46"/>
      <c r="CV50" s="46"/>
      <c r="CW50" s="46"/>
      <c r="CX50" s="38">
        <f t="shared" si="16"/>
        <v>0</v>
      </c>
      <c r="CY50" s="37">
        <v>0</v>
      </c>
      <c r="CZ50" s="46"/>
      <c r="DA50" s="46"/>
      <c r="DB50" s="46"/>
      <c r="DC50" s="46"/>
      <c r="DD50" s="46"/>
      <c r="DE50" s="46"/>
      <c r="DF50" s="46"/>
      <c r="DG50" s="38">
        <f t="shared" si="17"/>
        <v>0</v>
      </c>
      <c r="DH50" s="37">
        <v>0</v>
      </c>
      <c r="DI50" s="46"/>
      <c r="DJ50" s="46"/>
      <c r="DK50" s="46"/>
      <c r="DL50" s="46"/>
      <c r="DM50" s="46"/>
      <c r="DN50" s="46"/>
      <c r="DO50" s="46"/>
      <c r="DP50" s="38">
        <f t="shared" si="18"/>
        <v>0</v>
      </c>
      <c r="DQ50" s="37">
        <v>0</v>
      </c>
      <c r="DR50" s="46"/>
      <c r="DS50" s="46"/>
      <c r="DT50" s="46"/>
      <c r="DU50" s="46"/>
      <c r="DV50" s="46"/>
      <c r="DW50" s="46"/>
      <c r="DX50" s="46"/>
      <c r="DY50" s="38">
        <f t="shared" si="19"/>
        <v>0</v>
      </c>
      <c r="DZ50" s="110">
        <v>0</v>
      </c>
      <c r="EA50" s="116"/>
      <c r="EB50" s="46"/>
      <c r="EC50" s="46"/>
      <c r="ED50" s="46"/>
      <c r="EE50" s="46"/>
      <c r="EF50" s="46"/>
      <c r="EG50" s="117"/>
      <c r="EH50" s="114">
        <f t="shared" si="20"/>
        <v>0</v>
      </c>
      <c r="EI50" s="74">
        <f t="shared" si="21"/>
        <v>0</v>
      </c>
      <c r="EJ50" s="75">
        <f t="shared" si="22"/>
        <v>0</v>
      </c>
      <c r="EK50" s="75">
        <f t="shared" si="23"/>
        <v>0</v>
      </c>
      <c r="EL50" s="75">
        <f t="shared" si="24"/>
        <v>0</v>
      </c>
      <c r="EM50" s="75">
        <f t="shared" si="25"/>
        <v>0</v>
      </c>
      <c r="EN50" s="75">
        <f t="shared" si="26"/>
        <v>0</v>
      </c>
      <c r="EO50" s="76">
        <f t="shared" si="27"/>
        <v>0</v>
      </c>
      <c r="EP50" s="71">
        <f t="shared" si="28"/>
        <v>0</v>
      </c>
      <c r="EQ50" s="71">
        <f t="shared" si="29"/>
        <v>0</v>
      </c>
      <c r="ER50" s="71">
        <f t="shared" si="30"/>
        <v>0</v>
      </c>
      <c r="ES50" s="71">
        <f t="shared" si="31"/>
        <v>0</v>
      </c>
      <c r="ET50" s="71">
        <f t="shared" si="33"/>
        <v>0</v>
      </c>
      <c r="EU50" s="71">
        <f t="shared" si="34"/>
        <v>0</v>
      </c>
      <c r="EV50" s="71">
        <f t="shared" si="35"/>
        <v>0</v>
      </c>
      <c r="EW50" s="15" t="e">
        <f t="shared" si="36"/>
        <v>#DIV/0!</v>
      </c>
      <c r="EX50" s="15" t="e">
        <f t="shared" si="37"/>
        <v>#DIV/0!</v>
      </c>
    </row>
    <row r="51" spans="1:154" ht="18" customHeight="1" thickBot="1" x14ac:dyDescent="0.3">
      <c r="A51" s="260"/>
      <c r="B51" s="261"/>
      <c r="C51" s="150">
        <v>0</v>
      </c>
      <c r="D51" s="37">
        <v>0</v>
      </c>
      <c r="E51" s="130"/>
      <c r="F51" s="131"/>
      <c r="G51" s="131"/>
      <c r="H51" s="131"/>
      <c r="I51" s="131"/>
      <c r="J51" s="131"/>
      <c r="K51" s="132"/>
      <c r="L51" s="38">
        <f t="shared" si="0"/>
        <v>0</v>
      </c>
      <c r="M51" s="37">
        <v>0</v>
      </c>
      <c r="N51" s="130"/>
      <c r="O51" s="131"/>
      <c r="P51" s="131"/>
      <c r="Q51" s="131"/>
      <c r="R51" s="131"/>
      <c r="S51" s="131"/>
      <c r="T51" s="132"/>
      <c r="U51" s="38">
        <f t="shared" si="1"/>
        <v>0</v>
      </c>
      <c r="V51" s="37">
        <v>0</v>
      </c>
      <c r="W51" s="46"/>
      <c r="X51" s="46"/>
      <c r="Y51" s="46"/>
      <c r="Z51" s="46"/>
      <c r="AA51" s="46"/>
      <c r="AB51" s="46"/>
      <c r="AC51" s="46"/>
      <c r="AD51" s="38">
        <f t="shared" si="2"/>
        <v>0</v>
      </c>
      <c r="AE51" s="37">
        <v>0</v>
      </c>
      <c r="AF51" s="46"/>
      <c r="AG51" s="46"/>
      <c r="AH51" s="46"/>
      <c r="AI51" s="46"/>
      <c r="AJ51" s="46"/>
      <c r="AK51" s="46"/>
      <c r="AL51" s="46"/>
      <c r="AM51" s="38">
        <f t="shared" si="9"/>
        <v>0</v>
      </c>
      <c r="AN51" s="37">
        <v>0</v>
      </c>
      <c r="AO51" s="46"/>
      <c r="AP51" s="46"/>
      <c r="AQ51" s="46"/>
      <c r="AR51" s="46"/>
      <c r="AS51" s="46"/>
      <c r="AT51" s="46"/>
      <c r="AU51" s="46"/>
      <c r="AV51" s="38">
        <f t="shared" si="10"/>
        <v>0</v>
      </c>
      <c r="AW51" s="37">
        <v>0</v>
      </c>
      <c r="AX51" s="46"/>
      <c r="AY51" s="46"/>
      <c r="AZ51" s="46"/>
      <c r="BA51" s="46"/>
      <c r="BB51" s="46"/>
      <c r="BC51" s="46"/>
      <c r="BD51" s="46"/>
      <c r="BE51" s="38">
        <f t="shared" si="11"/>
        <v>0</v>
      </c>
      <c r="BF51" s="37">
        <v>0</v>
      </c>
      <c r="BG51" s="46"/>
      <c r="BH51" s="46"/>
      <c r="BI51" s="46"/>
      <c r="BJ51" s="46"/>
      <c r="BK51" s="46"/>
      <c r="BL51" s="46"/>
      <c r="BM51" s="46"/>
      <c r="BN51" s="38">
        <f t="shared" si="12"/>
        <v>0</v>
      </c>
      <c r="BO51" s="37">
        <v>0</v>
      </c>
      <c r="BP51" s="46"/>
      <c r="BQ51" s="46"/>
      <c r="BR51" s="46"/>
      <c r="BS51" s="46"/>
      <c r="BT51" s="46"/>
      <c r="BU51" s="46"/>
      <c r="BV51" s="46"/>
      <c r="BW51" s="38">
        <f t="shared" si="13"/>
        <v>0</v>
      </c>
      <c r="BX51" s="37">
        <v>0</v>
      </c>
      <c r="BY51" s="46"/>
      <c r="BZ51" s="46"/>
      <c r="CA51" s="46"/>
      <c r="CB51" s="46"/>
      <c r="CC51" s="46"/>
      <c r="CD51" s="46"/>
      <c r="CE51" s="46"/>
      <c r="CF51" s="38">
        <f t="shared" si="14"/>
        <v>0</v>
      </c>
      <c r="CG51" s="37">
        <v>0</v>
      </c>
      <c r="CH51" s="46"/>
      <c r="CI51" s="46"/>
      <c r="CJ51" s="46"/>
      <c r="CK51" s="46"/>
      <c r="CL51" s="46"/>
      <c r="CM51" s="46"/>
      <c r="CN51" s="46"/>
      <c r="CO51" s="38">
        <f t="shared" si="15"/>
        <v>0</v>
      </c>
      <c r="CP51" s="37">
        <v>0</v>
      </c>
      <c r="CQ51" s="46"/>
      <c r="CR51" s="46"/>
      <c r="CS51" s="46"/>
      <c r="CT51" s="46"/>
      <c r="CU51" s="46"/>
      <c r="CV51" s="46"/>
      <c r="CW51" s="46"/>
      <c r="CX51" s="38">
        <f t="shared" si="16"/>
        <v>0</v>
      </c>
      <c r="CY51" s="37">
        <v>0</v>
      </c>
      <c r="CZ51" s="46"/>
      <c r="DA51" s="46"/>
      <c r="DB51" s="46"/>
      <c r="DC51" s="46"/>
      <c r="DD51" s="46"/>
      <c r="DE51" s="46"/>
      <c r="DF51" s="46"/>
      <c r="DG51" s="38">
        <f t="shared" si="17"/>
        <v>0</v>
      </c>
      <c r="DH51" s="37">
        <v>0</v>
      </c>
      <c r="DI51" s="46"/>
      <c r="DJ51" s="46"/>
      <c r="DK51" s="46"/>
      <c r="DL51" s="46"/>
      <c r="DM51" s="46"/>
      <c r="DN51" s="46"/>
      <c r="DO51" s="46"/>
      <c r="DP51" s="38">
        <f t="shared" si="18"/>
        <v>0</v>
      </c>
      <c r="DQ51" s="37">
        <v>0</v>
      </c>
      <c r="DR51" s="46"/>
      <c r="DS51" s="46"/>
      <c r="DT51" s="46"/>
      <c r="DU51" s="46"/>
      <c r="DV51" s="46"/>
      <c r="DW51" s="46"/>
      <c r="DX51" s="46"/>
      <c r="DY51" s="38">
        <f t="shared" si="19"/>
        <v>0</v>
      </c>
      <c r="DZ51" s="110">
        <v>0</v>
      </c>
      <c r="EA51" s="116"/>
      <c r="EB51" s="46"/>
      <c r="EC51" s="46"/>
      <c r="ED51" s="46"/>
      <c r="EE51" s="46"/>
      <c r="EF51" s="46"/>
      <c r="EG51" s="117"/>
      <c r="EH51" s="114">
        <f t="shared" si="20"/>
        <v>0</v>
      </c>
      <c r="EI51" s="74">
        <f t="shared" si="21"/>
        <v>0</v>
      </c>
      <c r="EJ51" s="75">
        <f t="shared" si="22"/>
        <v>0</v>
      </c>
      <c r="EK51" s="75">
        <f t="shared" si="23"/>
        <v>0</v>
      </c>
      <c r="EL51" s="75">
        <f t="shared" si="24"/>
        <v>0</v>
      </c>
      <c r="EM51" s="75">
        <f t="shared" si="25"/>
        <v>0</v>
      </c>
      <c r="EN51" s="75">
        <f t="shared" si="26"/>
        <v>0</v>
      </c>
      <c r="EO51" s="76">
        <f t="shared" si="27"/>
        <v>0</v>
      </c>
      <c r="EP51" s="71">
        <f t="shared" si="28"/>
        <v>0</v>
      </c>
      <c r="EQ51" s="71">
        <f t="shared" si="29"/>
        <v>0</v>
      </c>
      <c r="ER51" s="71">
        <f t="shared" si="30"/>
        <v>0</v>
      </c>
      <c r="ES51" s="71">
        <f t="shared" si="31"/>
        <v>0</v>
      </c>
      <c r="ET51" s="71">
        <f t="shared" si="33"/>
        <v>0</v>
      </c>
      <c r="EU51" s="71">
        <f t="shared" si="34"/>
        <v>0</v>
      </c>
      <c r="EV51" s="71">
        <f t="shared" si="35"/>
        <v>0</v>
      </c>
      <c r="EW51" s="15" t="e">
        <f t="shared" si="36"/>
        <v>#DIV/0!</v>
      </c>
      <c r="EX51" s="15" t="e">
        <f t="shared" si="37"/>
        <v>#DIV/0!</v>
      </c>
    </row>
    <row r="52" spans="1:154" ht="18" customHeight="1" thickBot="1" x14ac:dyDescent="0.3">
      <c r="A52" s="260" t="s">
        <v>83</v>
      </c>
      <c r="B52" s="261"/>
      <c r="C52" s="150">
        <f t="shared" si="38"/>
        <v>0</v>
      </c>
      <c r="D52" s="37">
        <v>0</v>
      </c>
      <c r="E52" s="130"/>
      <c r="F52" s="131"/>
      <c r="G52" s="131"/>
      <c r="H52" s="131"/>
      <c r="I52" s="131"/>
      <c r="J52" s="131"/>
      <c r="K52" s="132"/>
      <c r="L52" s="38">
        <f t="shared" si="0"/>
        <v>0</v>
      </c>
      <c r="M52" s="37">
        <v>0</v>
      </c>
      <c r="N52" s="130"/>
      <c r="O52" s="131"/>
      <c r="P52" s="131"/>
      <c r="Q52" s="131"/>
      <c r="R52" s="131"/>
      <c r="S52" s="131"/>
      <c r="T52" s="132"/>
      <c r="U52" s="38">
        <f t="shared" si="1"/>
        <v>0</v>
      </c>
      <c r="V52" s="37">
        <v>0</v>
      </c>
      <c r="W52" s="46"/>
      <c r="X52" s="46"/>
      <c r="Y52" s="46"/>
      <c r="Z52" s="46"/>
      <c r="AA52" s="46"/>
      <c r="AB52" s="46"/>
      <c r="AC52" s="46"/>
      <c r="AD52" s="38">
        <f t="shared" si="2"/>
        <v>0</v>
      </c>
      <c r="AE52" s="37">
        <v>0</v>
      </c>
      <c r="AF52" s="46"/>
      <c r="AG52" s="46"/>
      <c r="AH52" s="46"/>
      <c r="AI52" s="46"/>
      <c r="AJ52" s="46"/>
      <c r="AK52" s="46"/>
      <c r="AL52" s="46"/>
      <c r="AM52" s="38">
        <f t="shared" si="9"/>
        <v>0</v>
      </c>
      <c r="AN52" s="37">
        <v>0</v>
      </c>
      <c r="AO52" s="46"/>
      <c r="AP52" s="46"/>
      <c r="AQ52" s="46"/>
      <c r="AR52" s="46"/>
      <c r="AS52" s="46"/>
      <c r="AT52" s="46"/>
      <c r="AU52" s="46"/>
      <c r="AV52" s="38">
        <f t="shared" si="10"/>
        <v>0</v>
      </c>
      <c r="AW52" s="37">
        <v>0</v>
      </c>
      <c r="AX52" s="46"/>
      <c r="AY52" s="46"/>
      <c r="AZ52" s="46"/>
      <c r="BA52" s="46"/>
      <c r="BB52" s="46"/>
      <c r="BC52" s="46"/>
      <c r="BD52" s="46"/>
      <c r="BE52" s="38">
        <f t="shared" si="11"/>
        <v>0</v>
      </c>
      <c r="BF52" s="37">
        <v>0</v>
      </c>
      <c r="BG52" s="46"/>
      <c r="BH52" s="46"/>
      <c r="BI52" s="46"/>
      <c r="BJ52" s="46"/>
      <c r="BK52" s="46"/>
      <c r="BL52" s="46"/>
      <c r="BM52" s="46"/>
      <c r="BN52" s="38">
        <f t="shared" si="12"/>
        <v>0</v>
      </c>
      <c r="BO52" s="37">
        <v>0</v>
      </c>
      <c r="BP52" s="46"/>
      <c r="BQ52" s="46"/>
      <c r="BR52" s="46"/>
      <c r="BS52" s="46"/>
      <c r="BT52" s="46"/>
      <c r="BU52" s="46"/>
      <c r="BV52" s="46"/>
      <c r="BW52" s="38">
        <f t="shared" si="13"/>
        <v>0</v>
      </c>
      <c r="BX52" s="37">
        <v>0</v>
      </c>
      <c r="BY52" s="46"/>
      <c r="BZ52" s="46"/>
      <c r="CA52" s="46"/>
      <c r="CB52" s="46"/>
      <c r="CC52" s="46"/>
      <c r="CD52" s="46"/>
      <c r="CE52" s="46"/>
      <c r="CF52" s="38">
        <f t="shared" si="14"/>
        <v>0</v>
      </c>
      <c r="CG52" s="37">
        <v>0</v>
      </c>
      <c r="CH52" s="46"/>
      <c r="CI52" s="46"/>
      <c r="CJ52" s="46"/>
      <c r="CK52" s="46"/>
      <c r="CL52" s="46"/>
      <c r="CM52" s="46"/>
      <c r="CN52" s="46"/>
      <c r="CO52" s="38">
        <f t="shared" si="15"/>
        <v>0</v>
      </c>
      <c r="CP52" s="37">
        <v>0</v>
      </c>
      <c r="CQ52" s="46"/>
      <c r="CR52" s="46"/>
      <c r="CS52" s="46"/>
      <c r="CT52" s="46"/>
      <c r="CU52" s="46"/>
      <c r="CV52" s="46"/>
      <c r="CW52" s="46"/>
      <c r="CX52" s="38">
        <f t="shared" si="16"/>
        <v>0</v>
      </c>
      <c r="CY52" s="37">
        <v>0</v>
      </c>
      <c r="CZ52" s="46"/>
      <c r="DA52" s="46"/>
      <c r="DB52" s="46"/>
      <c r="DC52" s="46"/>
      <c r="DD52" s="46"/>
      <c r="DE52" s="46"/>
      <c r="DF52" s="46"/>
      <c r="DG52" s="38">
        <f t="shared" si="17"/>
        <v>0</v>
      </c>
      <c r="DH52" s="37">
        <v>0</v>
      </c>
      <c r="DI52" s="46"/>
      <c r="DJ52" s="46"/>
      <c r="DK52" s="46"/>
      <c r="DL52" s="46"/>
      <c r="DM52" s="46"/>
      <c r="DN52" s="46"/>
      <c r="DO52" s="46"/>
      <c r="DP52" s="38">
        <f t="shared" si="18"/>
        <v>0</v>
      </c>
      <c r="DQ52" s="37">
        <v>0</v>
      </c>
      <c r="DR52" s="46"/>
      <c r="DS52" s="46"/>
      <c r="DT52" s="46"/>
      <c r="DU52" s="46"/>
      <c r="DV52" s="46"/>
      <c r="DW52" s="46"/>
      <c r="DX52" s="46"/>
      <c r="DY52" s="38">
        <f t="shared" si="19"/>
        <v>0</v>
      </c>
      <c r="DZ52" s="110">
        <v>0</v>
      </c>
      <c r="EA52" s="116"/>
      <c r="EB52" s="46"/>
      <c r="EC52" s="46"/>
      <c r="ED52" s="46"/>
      <c r="EE52" s="46"/>
      <c r="EF52" s="46"/>
      <c r="EG52" s="117"/>
      <c r="EH52" s="114">
        <f t="shared" si="20"/>
        <v>0</v>
      </c>
      <c r="EI52" s="74">
        <f t="shared" si="21"/>
        <v>0</v>
      </c>
      <c r="EJ52" s="75">
        <f t="shared" si="22"/>
        <v>0</v>
      </c>
      <c r="EK52" s="75">
        <f t="shared" si="23"/>
        <v>0</v>
      </c>
      <c r="EL52" s="75">
        <f t="shared" si="24"/>
        <v>0</v>
      </c>
      <c r="EM52" s="75">
        <f t="shared" si="25"/>
        <v>0</v>
      </c>
      <c r="EN52" s="75">
        <f t="shared" si="26"/>
        <v>0</v>
      </c>
      <c r="EO52" s="76">
        <f t="shared" si="27"/>
        <v>0</v>
      </c>
      <c r="EP52" s="71">
        <f t="shared" si="28"/>
        <v>0</v>
      </c>
      <c r="EQ52" s="71">
        <f t="shared" si="29"/>
        <v>0</v>
      </c>
      <c r="ER52" s="71">
        <f t="shared" si="30"/>
        <v>0</v>
      </c>
      <c r="ES52" s="71">
        <f t="shared" si="31"/>
        <v>0</v>
      </c>
      <c r="ET52" s="71">
        <f t="shared" si="33"/>
        <v>0</v>
      </c>
      <c r="EU52" s="71">
        <f t="shared" si="34"/>
        <v>0</v>
      </c>
      <c r="EV52" s="71">
        <f t="shared" si="35"/>
        <v>0</v>
      </c>
      <c r="EW52" s="15" t="e">
        <f t="shared" si="36"/>
        <v>#DIV/0!</v>
      </c>
      <c r="EX52" s="15" t="e">
        <f t="shared" si="37"/>
        <v>#DIV/0!</v>
      </c>
    </row>
    <row r="53" spans="1:154" ht="18" customHeight="1" thickBot="1" x14ac:dyDescent="0.3">
      <c r="A53" s="260"/>
      <c r="B53" s="261"/>
      <c r="C53" s="150">
        <v>0</v>
      </c>
      <c r="D53" s="37">
        <v>0</v>
      </c>
      <c r="E53" s="130"/>
      <c r="F53" s="131"/>
      <c r="G53" s="131"/>
      <c r="H53" s="131"/>
      <c r="I53" s="131"/>
      <c r="J53" s="131"/>
      <c r="K53" s="132"/>
      <c r="L53" s="38">
        <f t="shared" si="0"/>
        <v>0</v>
      </c>
      <c r="M53" s="37">
        <v>0</v>
      </c>
      <c r="N53" s="130"/>
      <c r="O53" s="131"/>
      <c r="P53" s="131"/>
      <c r="Q53" s="131"/>
      <c r="R53" s="131"/>
      <c r="S53" s="131"/>
      <c r="T53" s="132"/>
      <c r="U53" s="38">
        <f t="shared" si="1"/>
        <v>0</v>
      </c>
      <c r="V53" s="37">
        <v>0</v>
      </c>
      <c r="W53" s="46"/>
      <c r="X53" s="46"/>
      <c r="Y53" s="46"/>
      <c r="Z53" s="46"/>
      <c r="AA53" s="46"/>
      <c r="AB53" s="46"/>
      <c r="AC53" s="46"/>
      <c r="AD53" s="38">
        <f t="shared" si="2"/>
        <v>0</v>
      </c>
      <c r="AE53" s="37">
        <v>0</v>
      </c>
      <c r="AF53" s="46"/>
      <c r="AG53" s="46"/>
      <c r="AH53" s="46"/>
      <c r="AI53" s="46"/>
      <c r="AJ53" s="46"/>
      <c r="AK53" s="46"/>
      <c r="AL53" s="46"/>
      <c r="AM53" s="38">
        <f t="shared" si="9"/>
        <v>0</v>
      </c>
      <c r="AN53" s="37">
        <v>0</v>
      </c>
      <c r="AO53" s="46"/>
      <c r="AP53" s="46"/>
      <c r="AQ53" s="46"/>
      <c r="AR53" s="46"/>
      <c r="AS53" s="46"/>
      <c r="AT53" s="46"/>
      <c r="AU53" s="46"/>
      <c r="AV53" s="38">
        <f t="shared" si="10"/>
        <v>0</v>
      </c>
      <c r="AW53" s="37">
        <v>0</v>
      </c>
      <c r="AX53" s="46"/>
      <c r="AY53" s="46"/>
      <c r="AZ53" s="46"/>
      <c r="BA53" s="46"/>
      <c r="BB53" s="46"/>
      <c r="BC53" s="46"/>
      <c r="BD53" s="46"/>
      <c r="BE53" s="38">
        <f t="shared" si="11"/>
        <v>0</v>
      </c>
      <c r="BF53" s="37">
        <v>0</v>
      </c>
      <c r="BG53" s="46"/>
      <c r="BH53" s="46"/>
      <c r="BI53" s="46"/>
      <c r="BJ53" s="46"/>
      <c r="BK53" s="46"/>
      <c r="BL53" s="46"/>
      <c r="BM53" s="46"/>
      <c r="BN53" s="38">
        <f t="shared" si="12"/>
        <v>0</v>
      </c>
      <c r="BO53" s="37">
        <v>0</v>
      </c>
      <c r="BP53" s="46"/>
      <c r="BQ53" s="46"/>
      <c r="BR53" s="46"/>
      <c r="BS53" s="46"/>
      <c r="BT53" s="46"/>
      <c r="BU53" s="46"/>
      <c r="BV53" s="46"/>
      <c r="BW53" s="38">
        <f t="shared" si="13"/>
        <v>0</v>
      </c>
      <c r="BX53" s="37">
        <v>0</v>
      </c>
      <c r="BY53" s="46"/>
      <c r="BZ53" s="46"/>
      <c r="CA53" s="46"/>
      <c r="CB53" s="46"/>
      <c r="CC53" s="46"/>
      <c r="CD53" s="46"/>
      <c r="CE53" s="46"/>
      <c r="CF53" s="38">
        <f t="shared" si="14"/>
        <v>0</v>
      </c>
      <c r="CG53" s="37">
        <v>0</v>
      </c>
      <c r="CH53" s="46"/>
      <c r="CI53" s="46"/>
      <c r="CJ53" s="46"/>
      <c r="CK53" s="46"/>
      <c r="CL53" s="46"/>
      <c r="CM53" s="46"/>
      <c r="CN53" s="46"/>
      <c r="CO53" s="38">
        <f t="shared" si="15"/>
        <v>0</v>
      </c>
      <c r="CP53" s="37">
        <v>0</v>
      </c>
      <c r="CQ53" s="46"/>
      <c r="CR53" s="46"/>
      <c r="CS53" s="46"/>
      <c r="CT53" s="46"/>
      <c r="CU53" s="46"/>
      <c r="CV53" s="46"/>
      <c r="CW53" s="46"/>
      <c r="CX53" s="38">
        <f t="shared" si="16"/>
        <v>0</v>
      </c>
      <c r="CY53" s="37">
        <v>0</v>
      </c>
      <c r="CZ53" s="46"/>
      <c r="DA53" s="46"/>
      <c r="DB53" s="46"/>
      <c r="DC53" s="46"/>
      <c r="DD53" s="46"/>
      <c r="DE53" s="46"/>
      <c r="DF53" s="46"/>
      <c r="DG53" s="38">
        <f t="shared" si="17"/>
        <v>0</v>
      </c>
      <c r="DH53" s="37">
        <v>0</v>
      </c>
      <c r="DI53" s="46"/>
      <c r="DJ53" s="46"/>
      <c r="DK53" s="46"/>
      <c r="DL53" s="46"/>
      <c r="DM53" s="46"/>
      <c r="DN53" s="46"/>
      <c r="DO53" s="46"/>
      <c r="DP53" s="38">
        <f t="shared" si="18"/>
        <v>0</v>
      </c>
      <c r="DQ53" s="37">
        <v>0</v>
      </c>
      <c r="DR53" s="46"/>
      <c r="DS53" s="46"/>
      <c r="DT53" s="46"/>
      <c r="DU53" s="46"/>
      <c r="DV53" s="46"/>
      <c r="DW53" s="46"/>
      <c r="DX53" s="46"/>
      <c r="DY53" s="38">
        <f t="shared" si="19"/>
        <v>0</v>
      </c>
      <c r="DZ53" s="110">
        <v>0</v>
      </c>
      <c r="EA53" s="116"/>
      <c r="EB53" s="46"/>
      <c r="EC53" s="46"/>
      <c r="ED53" s="46"/>
      <c r="EE53" s="46"/>
      <c r="EF53" s="46"/>
      <c r="EG53" s="117"/>
      <c r="EH53" s="114">
        <f t="shared" si="20"/>
        <v>0</v>
      </c>
      <c r="EI53" s="74">
        <f t="shared" si="21"/>
        <v>0</v>
      </c>
      <c r="EJ53" s="75">
        <f t="shared" si="22"/>
        <v>0</v>
      </c>
      <c r="EK53" s="75">
        <f t="shared" si="23"/>
        <v>0</v>
      </c>
      <c r="EL53" s="75">
        <f t="shared" si="24"/>
        <v>0</v>
      </c>
      <c r="EM53" s="75">
        <f t="shared" si="25"/>
        <v>0</v>
      </c>
      <c r="EN53" s="75">
        <f t="shared" si="26"/>
        <v>0</v>
      </c>
      <c r="EO53" s="76">
        <f t="shared" si="27"/>
        <v>0</v>
      </c>
      <c r="EP53" s="71">
        <f t="shared" si="28"/>
        <v>0</v>
      </c>
      <c r="EQ53" s="71">
        <f t="shared" si="29"/>
        <v>0</v>
      </c>
      <c r="ER53" s="71">
        <f t="shared" si="30"/>
        <v>0</v>
      </c>
      <c r="ES53" s="71">
        <f t="shared" si="31"/>
        <v>0</v>
      </c>
      <c r="ET53" s="71">
        <f t="shared" si="33"/>
        <v>0</v>
      </c>
      <c r="EU53" s="71">
        <f t="shared" si="34"/>
        <v>0</v>
      </c>
      <c r="EV53" s="71">
        <f t="shared" si="35"/>
        <v>0</v>
      </c>
      <c r="EW53" s="15" t="e">
        <f t="shared" si="36"/>
        <v>#DIV/0!</v>
      </c>
      <c r="EX53" s="15" t="e">
        <f t="shared" si="37"/>
        <v>#DIV/0!</v>
      </c>
    </row>
    <row r="54" spans="1:154" ht="18" customHeight="1" thickBot="1" x14ac:dyDescent="0.3">
      <c r="A54" s="260" t="s">
        <v>84</v>
      </c>
      <c r="B54" s="261"/>
      <c r="C54" s="150">
        <f t="shared" si="38"/>
        <v>0</v>
      </c>
      <c r="D54" s="37">
        <v>0</v>
      </c>
      <c r="E54" s="130"/>
      <c r="F54" s="131"/>
      <c r="G54" s="131"/>
      <c r="H54" s="131"/>
      <c r="I54" s="131"/>
      <c r="J54" s="131"/>
      <c r="K54" s="132"/>
      <c r="L54" s="38">
        <f t="shared" si="0"/>
        <v>0</v>
      </c>
      <c r="M54" s="37">
        <v>0</v>
      </c>
      <c r="N54" s="130"/>
      <c r="O54" s="131"/>
      <c r="P54" s="131"/>
      <c r="Q54" s="131"/>
      <c r="R54" s="131"/>
      <c r="S54" s="131"/>
      <c r="T54" s="132"/>
      <c r="U54" s="38">
        <f t="shared" si="1"/>
        <v>0</v>
      </c>
      <c r="V54" s="37">
        <v>0</v>
      </c>
      <c r="W54" s="46"/>
      <c r="X54" s="46"/>
      <c r="Y54" s="46"/>
      <c r="Z54" s="46"/>
      <c r="AA54" s="46"/>
      <c r="AB54" s="46"/>
      <c r="AC54" s="46"/>
      <c r="AD54" s="38">
        <f t="shared" si="2"/>
        <v>0</v>
      </c>
      <c r="AE54" s="37">
        <v>0</v>
      </c>
      <c r="AF54" s="46"/>
      <c r="AG54" s="46"/>
      <c r="AH54" s="46"/>
      <c r="AI54" s="46"/>
      <c r="AJ54" s="46"/>
      <c r="AK54" s="46"/>
      <c r="AL54" s="46"/>
      <c r="AM54" s="38">
        <f t="shared" si="9"/>
        <v>0</v>
      </c>
      <c r="AN54" s="37">
        <v>0</v>
      </c>
      <c r="AO54" s="46"/>
      <c r="AP54" s="46"/>
      <c r="AQ54" s="46"/>
      <c r="AR54" s="46"/>
      <c r="AS54" s="46"/>
      <c r="AT54" s="46"/>
      <c r="AU54" s="46"/>
      <c r="AV54" s="38">
        <f t="shared" si="10"/>
        <v>0</v>
      </c>
      <c r="AW54" s="37">
        <v>0</v>
      </c>
      <c r="AX54" s="46"/>
      <c r="AY54" s="46"/>
      <c r="AZ54" s="46"/>
      <c r="BA54" s="46"/>
      <c r="BB54" s="46"/>
      <c r="BC54" s="46"/>
      <c r="BD54" s="46"/>
      <c r="BE54" s="38">
        <f t="shared" si="11"/>
        <v>0</v>
      </c>
      <c r="BF54" s="37">
        <v>0</v>
      </c>
      <c r="BG54" s="46"/>
      <c r="BH54" s="46"/>
      <c r="BI54" s="46"/>
      <c r="BJ54" s="46"/>
      <c r="BK54" s="46"/>
      <c r="BL54" s="46"/>
      <c r="BM54" s="46"/>
      <c r="BN54" s="38">
        <f t="shared" si="12"/>
        <v>0</v>
      </c>
      <c r="BO54" s="37">
        <v>0</v>
      </c>
      <c r="BP54" s="46"/>
      <c r="BQ54" s="46"/>
      <c r="BR54" s="46"/>
      <c r="BS54" s="46"/>
      <c r="BT54" s="46"/>
      <c r="BU54" s="46"/>
      <c r="BV54" s="46"/>
      <c r="BW54" s="38">
        <f t="shared" si="13"/>
        <v>0</v>
      </c>
      <c r="BX54" s="37">
        <v>0</v>
      </c>
      <c r="BY54" s="46"/>
      <c r="BZ54" s="46"/>
      <c r="CA54" s="46"/>
      <c r="CB54" s="46"/>
      <c r="CC54" s="46"/>
      <c r="CD54" s="46"/>
      <c r="CE54" s="46"/>
      <c r="CF54" s="38">
        <f t="shared" si="14"/>
        <v>0</v>
      </c>
      <c r="CG54" s="37">
        <v>0</v>
      </c>
      <c r="CH54" s="46"/>
      <c r="CI54" s="46"/>
      <c r="CJ54" s="46"/>
      <c r="CK54" s="46"/>
      <c r="CL54" s="46"/>
      <c r="CM54" s="46"/>
      <c r="CN54" s="46"/>
      <c r="CO54" s="38">
        <f t="shared" si="15"/>
        <v>0</v>
      </c>
      <c r="CP54" s="37">
        <v>0</v>
      </c>
      <c r="CQ54" s="46"/>
      <c r="CR54" s="46"/>
      <c r="CS54" s="46"/>
      <c r="CT54" s="46"/>
      <c r="CU54" s="46"/>
      <c r="CV54" s="46"/>
      <c r="CW54" s="46"/>
      <c r="CX54" s="38">
        <f t="shared" si="16"/>
        <v>0</v>
      </c>
      <c r="CY54" s="37">
        <v>0</v>
      </c>
      <c r="CZ54" s="46"/>
      <c r="DA54" s="46"/>
      <c r="DB54" s="46"/>
      <c r="DC54" s="46"/>
      <c r="DD54" s="46"/>
      <c r="DE54" s="46"/>
      <c r="DF54" s="46"/>
      <c r="DG54" s="38">
        <f t="shared" si="17"/>
        <v>0</v>
      </c>
      <c r="DH54" s="37">
        <v>0</v>
      </c>
      <c r="DI54" s="46"/>
      <c r="DJ54" s="46"/>
      <c r="DK54" s="46"/>
      <c r="DL54" s="46"/>
      <c r="DM54" s="46"/>
      <c r="DN54" s="46"/>
      <c r="DO54" s="46"/>
      <c r="DP54" s="38">
        <f t="shared" si="18"/>
        <v>0</v>
      </c>
      <c r="DQ54" s="37">
        <v>0</v>
      </c>
      <c r="DR54" s="46"/>
      <c r="DS54" s="46"/>
      <c r="DT54" s="46"/>
      <c r="DU54" s="46"/>
      <c r="DV54" s="46"/>
      <c r="DW54" s="46"/>
      <c r="DX54" s="46"/>
      <c r="DY54" s="38">
        <f t="shared" si="19"/>
        <v>0</v>
      </c>
      <c r="DZ54" s="110">
        <v>0</v>
      </c>
      <c r="EA54" s="116"/>
      <c r="EB54" s="46"/>
      <c r="EC54" s="46"/>
      <c r="ED54" s="46"/>
      <c r="EE54" s="46"/>
      <c r="EF54" s="46"/>
      <c r="EG54" s="117"/>
      <c r="EH54" s="114">
        <f t="shared" si="20"/>
        <v>0</v>
      </c>
      <c r="EI54" s="74">
        <f t="shared" si="21"/>
        <v>0</v>
      </c>
      <c r="EJ54" s="75">
        <f t="shared" si="22"/>
        <v>0</v>
      </c>
      <c r="EK54" s="75">
        <f t="shared" si="23"/>
        <v>0</v>
      </c>
      <c r="EL54" s="75">
        <f t="shared" si="24"/>
        <v>0</v>
      </c>
      <c r="EM54" s="75">
        <f t="shared" si="25"/>
        <v>0</v>
      </c>
      <c r="EN54" s="75">
        <f t="shared" si="26"/>
        <v>0</v>
      </c>
      <c r="EO54" s="76">
        <f t="shared" si="27"/>
        <v>0</v>
      </c>
      <c r="EP54" s="71">
        <f t="shared" si="28"/>
        <v>0</v>
      </c>
      <c r="EQ54" s="71">
        <f t="shared" si="29"/>
        <v>0</v>
      </c>
      <c r="ER54" s="71">
        <f t="shared" si="30"/>
        <v>0</v>
      </c>
      <c r="ES54" s="71">
        <f t="shared" si="31"/>
        <v>0</v>
      </c>
      <c r="ET54" s="71">
        <f t="shared" si="33"/>
        <v>0</v>
      </c>
      <c r="EU54" s="71">
        <f t="shared" si="34"/>
        <v>0</v>
      </c>
      <c r="EV54" s="71">
        <f t="shared" si="35"/>
        <v>0</v>
      </c>
      <c r="EW54" s="15" t="e">
        <f t="shared" si="36"/>
        <v>#DIV/0!</v>
      </c>
      <c r="EX54" s="15" t="e">
        <f t="shared" si="37"/>
        <v>#DIV/0!</v>
      </c>
    </row>
    <row r="55" spans="1:154" ht="18" customHeight="1" thickBot="1" x14ac:dyDescent="0.3">
      <c r="A55" s="260"/>
      <c r="B55" s="261"/>
      <c r="C55" s="150">
        <v>0</v>
      </c>
      <c r="D55" s="37">
        <v>0</v>
      </c>
      <c r="E55" s="130"/>
      <c r="F55" s="131"/>
      <c r="G55" s="131"/>
      <c r="H55" s="131"/>
      <c r="I55" s="131"/>
      <c r="J55" s="131"/>
      <c r="K55" s="132"/>
      <c r="L55" s="38">
        <f t="shared" si="0"/>
        <v>0</v>
      </c>
      <c r="M55" s="37">
        <v>0</v>
      </c>
      <c r="N55" s="130"/>
      <c r="O55" s="131"/>
      <c r="P55" s="131"/>
      <c r="Q55" s="131"/>
      <c r="R55" s="131"/>
      <c r="S55" s="131"/>
      <c r="T55" s="132"/>
      <c r="U55" s="38">
        <f t="shared" si="1"/>
        <v>0</v>
      </c>
      <c r="V55" s="37">
        <v>0</v>
      </c>
      <c r="W55" s="46"/>
      <c r="X55" s="46"/>
      <c r="Y55" s="46"/>
      <c r="Z55" s="46"/>
      <c r="AA55" s="46"/>
      <c r="AB55" s="46"/>
      <c r="AC55" s="46"/>
      <c r="AD55" s="38">
        <f t="shared" si="2"/>
        <v>0</v>
      </c>
      <c r="AE55" s="37">
        <v>0</v>
      </c>
      <c r="AF55" s="46"/>
      <c r="AG55" s="46"/>
      <c r="AH55" s="46"/>
      <c r="AI55" s="46"/>
      <c r="AJ55" s="46"/>
      <c r="AK55" s="46"/>
      <c r="AL55" s="46"/>
      <c r="AM55" s="38">
        <f t="shared" si="9"/>
        <v>0</v>
      </c>
      <c r="AN55" s="37">
        <v>0</v>
      </c>
      <c r="AO55" s="46"/>
      <c r="AP55" s="46"/>
      <c r="AQ55" s="46"/>
      <c r="AR55" s="46"/>
      <c r="AS55" s="46"/>
      <c r="AT55" s="46"/>
      <c r="AU55" s="46"/>
      <c r="AV55" s="38">
        <f t="shared" si="10"/>
        <v>0</v>
      </c>
      <c r="AW55" s="37">
        <v>0</v>
      </c>
      <c r="AX55" s="46"/>
      <c r="AY55" s="46"/>
      <c r="AZ55" s="46"/>
      <c r="BA55" s="46"/>
      <c r="BB55" s="46"/>
      <c r="BC55" s="46"/>
      <c r="BD55" s="46"/>
      <c r="BE55" s="38">
        <f t="shared" si="11"/>
        <v>0</v>
      </c>
      <c r="BF55" s="37">
        <v>0</v>
      </c>
      <c r="BG55" s="46"/>
      <c r="BH55" s="46"/>
      <c r="BI55" s="46"/>
      <c r="BJ55" s="46"/>
      <c r="BK55" s="46"/>
      <c r="BL55" s="46"/>
      <c r="BM55" s="46"/>
      <c r="BN55" s="38">
        <f t="shared" si="12"/>
        <v>0</v>
      </c>
      <c r="BO55" s="37">
        <v>0</v>
      </c>
      <c r="BP55" s="46"/>
      <c r="BQ55" s="46"/>
      <c r="BR55" s="46"/>
      <c r="BS55" s="46"/>
      <c r="BT55" s="46"/>
      <c r="BU55" s="46"/>
      <c r="BV55" s="46"/>
      <c r="BW55" s="38">
        <f t="shared" si="13"/>
        <v>0</v>
      </c>
      <c r="BX55" s="37">
        <v>0</v>
      </c>
      <c r="BY55" s="46"/>
      <c r="BZ55" s="46"/>
      <c r="CA55" s="46"/>
      <c r="CB55" s="46"/>
      <c r="CC55" s="46"/>
      <c r="CD55" s="46"/>
      <c r="CE55" s="46"/>
      <c r="CF55" s="38">
        <f t="shared" si="14"/>
        <v>0</v>
      </c>
      <c r="CG55" s="37">
        <v>0</v>
      </c>
      <c r="CH55" s="46"/>
      <c r="CI55" s="46"/>
      <c r="CJ55" s="46"/>
      <c r="CK55" s="46"/>
      <c r="CL55" s="46"/>
      <c r="CM55" s="46"/>
      <c r="CN55" s="46"/>
      <c r="CO55" s="38">
        <f t="shared" si="15"/>
        <v>0</v>
      </c>
      <c r="CP55" s="37">
        <v>0</v>
      </c>
      <c r="CQ55" s="46"/>
      <c r="CR55" s="46"/>
      <c r="CS55" s="46"/>
      <c r="CT55" s="46"/>
      <c r="CU55" s="46"/>
      <c r="CV55" s="46"/>
      <c r="CW55" s="46"/>
      <c r="CX55" s="38">
        <f t="shared" si="16"/>
        <v>0</v>
      </c>
      <c r="CY55" s="37">
        <v>0</v>
      </c>
      <c r="CZ55" s="46"/>
      <c r="DA55" s="46"/>
      <c r="DB55" s="46"/>
      <c r="DC55" s="46"/>
      <c r="DD55" s="46"/>
      <c r="DE55" s="46"/>
      <c r="DF55" s="46"/>
      <c r="DG55" s="38">
        <f t="shared" si="17"/>
        <v>0</v>
      </c>
      <c r="DH55" s="37">
        <v>0</v>
      </c>
      <c r="DI55" s="46"/>
      <c r="DJ55" s="46"/>
      <c r="DK55" s="46"/>
      <c r="DL55" s="46"/>
      <c r="DM55" s="46"/>
      <c r="DN55" s="46"/>
      <c r="DO55" s="46"/>
      <c r="DP55" s="38">
        <f t="shared" si="18"/>
        <v>0</v>
      </c>
      <c r="DQ55" s="37">
        <v>0</v>
      </c>
      <c r="DR55" s="46"/>
      <c r="DS55" s="46"/>
      <c r="DT55" s="46"/>
      <c r="DU55" s="46"/>
      <c r="DV55" s="46"/>
      <c r="DW55" s="46"/>
      <c r="DX55" s="46"/>
      <c r="DY55" s="38">
        <f t="shared" si="19"/>
        <v>0</v>
      </c>
      <c r="DZ55" s="110">
        <v>0</v>
      </c>
      <c r="EA55" s="116"/>
      <c r="EB55" s="46"/>
      <c r="EC55" s="46"/>
      <c r="ED55" s="46"/>
      <c r="EE55" s="46"/>
      <c r="EF55" s="46"/>
      <c r="EG55" s="117"/>
      <c r="EH55" s="114">
        <f t="shared" si="20"/>
        <v>0</v>
      </c>
      <c r="EI55" s="74">
        <f t="shared" si="21"/>
        <v>0</v>
      </c>
      <c r="EJ55" s="75">
        <f t="shared" si="22"/>
        <v>0</v>
      </c>
      <c r="EK55" s="75">
        <f t="shared" si="23"/>
        <v>0</v>
      </c>
      <c r="EL55" s="75">
        <f t="shared" si="24"/>
        <v>0</v>
      </c>
      <c r="EM55" s="75">
        <f t="shared" si="25"/>
        <v>0</v>
      </c>
      <c r="EN55" s="75">
        <f t="shared" si="26"/>
        <v>0</v>
      </c>
      <c r="EO55" s="76">
        <f t="shared" si="27"/>
        <v>0</v>
      </c>
      <c r="EP55" s="71">
        <f t="shared" si="28"/>
        <v>0</v>
      </c>
      <c r="EQ55" s="71">
        <f t="shared" si="29"/>
        <v>0</v>
      </c>
      <c r="ER55" s="71">
        <f t="shared" si="30"/>
        <v>0</v>
      </c>
      <c r="ES55" s="71">
        <f t="shared" si="31"/>
        <v>0</v>
      </c>
      <c r="ET55" s="71">
        <f t="shared" si="33"/>
        <v>0</v>
      </c>
      <c r="EU55" s="71">
        <f t="shared" si="34"/>
        <v>0</v>
      </c>
      <c r="EV55" s="71">
        <f t="shared" si="35"/>
        <v>0</v>
      </c>
      <c r="EW55" s="15" t="e">
        <f t="shared" si="36"/>
        <v>#DIV/0!</v>
      </c>
      <c r="EX55" s="15" t="e">
        <f t="shared" si="37"/>
        <v>#DIV/0!</v>
      </c>
    </row>
    <row r="56" spans="1:154" ht="18" customHeight="1" thickBot="1" x14ac:dyDescent="0.3">
      <c r="A56" s="260" t="s">
        <v>85</v>
      </c>
      <c r="B56" s="261"/>
      <c r="C56" s="150">
        <f t="shared" si="38"/>
        <v>0</v>
      </c>
      <c r="D56" s="37">
        <v>0</v>
      </c>
      <c r="E56" s="130"/>
      <c r="F56" s="131"/>
      <c r="G56" s="131"/>
      <c r="H56" s="131"/>
      <c r="I56" s="131"/>
      <c r="J56" s="131"/>
      <c r="K56" s="132"/>
      <c r="L56" s="38">
        <f t="shared" si="0"/>
        <v>0</v>
      </c>
      <c r="M56" s="37">
        <v>0</v>
      </c>
      <c r="N56" s="130"/>
      <c r="O56" s="131"/>
      <c r="P56" s="131"/>
      <c r="Q56" s="131"/>
      <c r="R56" s="131"/>
      <c r="S56" s="131"/>
      <c r="T56" s="132"/>
      <c r="U56" s="38">
        <f t="shared" si="1"/>
        <v>0</v>
      </c>
      <c r="V56" s="37">
        <v>0</v>
      </c>
      <c r="W56" s="46"/>
      <c r="X56" s="46"/>
      <c r="Y56" s="46"/>
      <c r="Z56" s="46"/>
      <c r="AA56" s="46"/>
      <c r="AB56" s="46"/>
      <c r="AC56" s="46"/>
      <c r="AD56" s="38">
        <f t="shared" si="2"/>
        <v>0</v>
      </c>
      <c r="AE56" s="37">
        <v>0</v>
      </c>
      <c r="AF56" s="46"/>
      <c r="AG56" s="46"/>
      <c r="AH56" s="46"/>
      <c r="AI56" s="46"/>
      <c r="AJ56" s="46"/>
      <c r="AK56" s="46"/>
      <c r="AL56" s="46"/>
      <c r="AM56" s="38">
        <f t="shared" si="9"/>
        <v>0</v>
      </c>
      <c r="AN56" s="37">
        <v>0</v>
      </c>
      <c r="AO56" s="46"/>
      <c r="AP56" s="46"/>
      <c r="AQ56" s="46"/>
      <c r="AR56" s="46"/>
      <c r="AS56" s="46"/>
      <c r="AT56" s="46"/>
      <c r="AU56" s="46"/>
      <c r="AV56" s="38">
        <f t="shared" si="10"/>
        <v>0</v>
      </c>
      <c r="AW56" s="37">
        <v>0</v>
      </c>
      <c r="AX56" s="46"/>
      <c r="AY56" s="46"/>
      <c r="AZ56" s="46"/>
      <c r="BA56" s="46"/>
      <c r="BB56" s="46"/>
      <c r="BC56" s="46"/>
      <c r="BD56" s="46"/>
      <c r="BE56" s="38">
        <f t="shared" si="11"/>
        <v>0</v>
      </c>
      <c r="BF56" s="37">
        <v>0</v>
      </c>
      <c r="BG56" s="46"/>
      <c r="BH56" s="46"/>
      <c r="BI56" s="46"/>
      <c r="BJ56" s="46"/>
      <c r="BK56" s="46"/>
      <c r="BL56" s="46"/>
      <c r="BM56" s="46"/>
      <c r="BN56" s="38">
        <f t="shared" si="12"/>
        <v>0</v>
      </c>
      <c r="BO56" s="37">
        <v>0</v>
      </c>
      <c r="BP56" s="46"/>
      <c r="BQ56" s="46"/>
      <c r="BR56" s="46"/>
      <c r="BS56" s="46"/>
      <c r="BT56" s="46"/>
      <c r="BU56" s="46"/>
      <c r="BV56" s="46"/>
      <c r="BW56" s="38">
        <f t="shared" si="13"/>
        <v>0</v>
      </c>
      <c r="BX56" s="37">
        <v>0</v>
      </c>
      <c r="BY56" s="46"/>
      <c r="BZ56" s="46"/>
      <c r="CA56" s="46"/>
      <c r="CB56" s="46"/>
      <c r="CC56" s="46"/>
      <c r="CD56" s="46"/>
      <c r="CE56" s="46"/>
      <c r="CF56" s="38">
        <f t="shared" si="14"/>
        <v>0</v>
      </c>
      <c r="CG56" s="37">
        <v>0</v>
      </c>
      <c r="CH56" s="46"/>
      <c r="CI56" s="46"/>
      <c r="CJ56" s="46"/>
      <c r="CK56" s="46"/>
      <c r="CL56" s="46"/>
      <c r="CM56" s="46"/>
      <c r="CN56" s="46"/>
      <c r="CO56" s="38">
        <f t="shared" si="15"/>
        <v>0</v>
      </c>
      <c r="CP56" s="37">
        <v>0</v>
      </c>
      <c r="CQ56" s="46"/>
      <c r="CR56" s="46"/>
      <c r="CS56" s="46"/>
      <c r="CT56" s="46"/>
      <c r="CU56" s="46"/>
      <c r="CV56" s="46"/>
      <c r="CW56" s="46"/>
      <c r="CX56" s="38">
        <f t="shared" si="16"/>
        <v>0</v>
      </c>
      <c r="CY56" s="37">
        <v>0</v>
      </c>
      <c r="CZ56" s="46"/>
      <c r="DA56" s="46"/>
      <c r="DB56" s="46"/>
      <c r="DC56" s="46"/>
      <c r="DD56" s="46"/>
      <c r="DE56" s="46"/>
      <c r="DF56" s="46"/>
      <c r="DG56" s="38">
        <f t="shared" si="17"/>
        <v>0</v>
      </c>
      <c r="DH56" s="37">
        <v>0</v>
      </c>
      <c r="DI56" s="46"/>
      <c r="DJ56" s="46"/>
      <c r="DK56" s="46"/>
      <c r="DL56" s="46"/>
      <c r="DM56" s="46"/>
      <c r="DN56" s="46"/>
      <c r="DO56" s="46"/>
      <c r="DP56" s="38">
        <f t="shared" si="18"/>
        <v>0</v>
      </c>
      <c r="DQ56" s="37">
        <v>0</v>
      </c>
      <c r="DR56" s="46"/>
      <c r="DS56" s="46"/>
      <c r="DT56" s="46"/>
      <c r="DU56" s="46"/>
      <c r="DV56" s="46"/>
      <c r="DW56" s="46"/>
      <c r="DX56" s="46"/>
      <c r="DY56" s="38">
        <f t="shared" si="19"/>
        <v>0</v>
      </c>
      <c r="DZ56" s="110">
        <v>0</v>
      </c>
      <c r="EA56" s="116"/>
      <c r="EB56" s="46"/>
      <c r="EC56" s="46"/>
      <c r="ED56" s="46"/>
      <c r="EE56" s="46"/>
      <c r="EF56" s="46"/>
      <c r="EG56" s="117"/>
      <c r="EH56" s="114">
        <f t="shared" si="20"/>
        <v>0</v>
      </c>
      <c r="EI56" s="74">
        <f t="shared" si="21"/>
        <v>0</v>
      </c>
      <c r="EJ56" s="75">
        <f t="shared" si="22"/>
        <v>0</v>
      </c>
      <c r="EK56" s="75">
        <f t="shared" si="23"/>
        <v>0</v>
      </c>
      <c r="EL56" s="75">
        <f t="shared" si="24"/>
        <v>0</v>
      </c>
      <c r="EM56" s="75">
        <f t="shared" si="25"/>
        <v>0</v>
      </c>
      <c r="EN56" s="75">
        <f t="shared" si="26"/>
        <v>0</v>
      </c>
      <c r="EO56" s="76">
        <f t="shared" si="27"/>
        <v>0</v>
      </c>
      <c r="EP56" s="71">
        <f t="shared" si="28"/>
        <v>0</v>
      </c>
      <c r="EQ56" s="71">
        <f t="shared" si="29"/>
        <v>0</v>
      </c>
      <c r="ER56" s="71">
        <f t="shared" si="30"/>
        <v>0</v>
      </c>
      <c r="ES56" s="71">
        <f t="shared" si="31"/>
        <v>0</v>
      </c>
      <c r="ET56" s="71">
        <f t="shared" si="33"/>
        <v>0</v>
      </c>
      <c r="EU56" s="71">
        <f t="shared" si="34"/>
        <v>0</v>
      </c>
      <c r="EV56" s="71">
        <f t="shared" si="35"/>
        <v>0</v>
      </c>
      <c r="EW56" s="15" t="e">
        <f t="shared" si="36"/>
        <v>#DIV/0!</v>
      </c>
      <c r="EX56" s="15" t="e">
        <f t="shared" si="37"/>
        <v>#DIV/0!</v>
      </c>
    </row>
    <row r="57" spans="1:154" ht="18" customHeight="1" thickBot="1" x14ac:dyDescent="0.3">
      <c r="A57" s="260"/>
      <c r="B57" s="261"/>
      <c r="C57" s="150">
        <v>0</v>
      </c>
      <c r="D57" s="37">
        <v>0</v>
      </c>
      <c r="E57" s="130"/>
      <c r="F57" s="131"/>
      <c r="G57" s="131"/>
      <c r="H57" s="131"/>
      <c r="I57" s="131"/>
      <c r="J57" s="131"/>
      <c r="K57" s="132"/>
      <c r="L57" s="38">
        <f t="shared" si="0"/>
        <v>0</v>
      </c>
      <c r="M57" s="37">
        <v>0</v>
      </c>
      <c r="N57" s="130"/>
      <c r="O57" s="131"/>
      <c r="P57" s="131"/>
      <c r="Q57" s="131"/>
      <c r="R57" s="131"/>
      <c r="S57" s="131"/>
      <c r="T57" s="132"/>
      <c r="U57" s="38">
        <f t="shared" si="1"/>
        <v>0</v>
      </c>
      <c r="V57" s="37">
        <v>0</v>
      </c>
      <c r="W57" s="46"/>
      <c r="X57" s="46"/>
      <c r="Y57" s="46"/>
      <c r="Z57" s="46"/>
      <c r="AA57" s="46"/>
      <c r="AB57" s="46"/>
      <c r="AC57" s="46"/>
      <c r="AD57" s="38">
        <f t="shared" si="2"/>
        <v>0</v>
      </c>
      <c r="AE57" s="37">
        <v>0</v>
      </c>
      <c r="AF57" s="46"/>
      <c r="AG57" s="46"/>
      <c r="AH57" s="46"/>
      <c r="AI57" s="46"/>
      <c r="AJ57" s="46"/>
      <c r="AK57" s="46"/>
      <c r="AL57" s="46"/>
      <c r="AM57" s="38">
        <f t="shared" si="9"/>
        <v>0</v>
      </c>
      <c r="AN57" s="37">
        <v>0</v>
      </c>
      <c r="AO57" s="46"/>
      <c r="AP57" s="46"/>
      <c r="AQ57" s="46"/>
      <c r="AR57" s="46"/>
      <c r="AS57" s="46"/>
      <c r="AT57" s="46"/>
      <c r="AU57" s="46"/>
      <c r="AV57" s="38">
        <f t="shared" si="10"/>
        <v>0</v>
      </c>
      <c r="AW57" s="37">
        <v>0</v>
      </c>
      <c r="AX57" s="46"/>
      <c r="AY57" s="46"/>
      <c r="AZ57" s="46"/>
      <c r="BA57" s="46"/>
      <c r="BB57" s="46"/>
      <c r="BC57" s="46"/>
      <c r="BD57" s="46"/>
      <c r="BE57" s="38">
        <f t="shared" si="11"/>
        <v>0</v>
      </c>
      <c r="BF57" s="37">
        <v>0</v>
      </c>
      <c r="BG57" s="46"/>
      <c r="BH57" s="46"/>
      <c r="BI57" s="46"/>
      <c r="BJ57" s="46"/>
      <c r="BK57" s="46"/>
      <c r="BL57" s="46"/>
      <c r="BM57" s="46"/>
      <c r="BN57" s="38">
        <f t="shared" si="12"/>
        <v>0</v>
      </c>
      <c r="BO57" s="37">
        <v>0</v>
      </c>
      <c r="BP57" s="46"/>
      <c r="BQ57" s="46"/>
      <c r="BR57" s="46"/>
      <c r="BS57" s="46"/>
      <c r="BT57" s="46"/>
      <c r="BU57" s="46"/>
      <c r="BV57" s="46"/>
      <c r="BW57" s="38">
        <f t="shared" si="13"/>
        <v>0</v>
      </c>
      <c r="BX57" s="37">
        <v>0</v>
      </c>
      <c r="BY57" s="46"/>
      <c r="BZ57" s="46"/>
      <c r="CA57" s="46"/>
      <c r="CB57" s="46"/>
      <c r="CC57" s="46"/>
      <c r="CD57" s="46"/>
      <c r="CE57" s="46"/>
      <c r="CF57" s="38">
        <f t="shared" si="14"/>
        <v>0</v>
      </c>
      <c r="CG57" s="37">
        <v>0</v>
      </c>
      <c r="CH57" s="46"/>
      <c r="CI57" s="46"/>
      <c r="CJ57" s="46"/>
      <c r="CK57" s="46"/>
      <c r="CL57" s="46"/>
      <c r="CM57" s="46"/>
      <c r="CN57" s="46"/>
      <c r="CO57" s="38">
        <f t="shared" si="15"/>
        <v>0</v>
      </c>
      <c r="CP57" s="37">
        <v>0</v>
      </c>
      <c r="CQ57" s="46"/>
      <c r="CR57" s="46"/>
      <c r="CS57" s="46"/>
      <c r="CT57" s="46"/>
      <c r="CU57" s="46"/>
      <c r="CV57" s="46"/>
      <c r="CW57" s="46"/>
      <c r="CX57" s="38">
        <f t="shared" si="16"/>
        <v>0</v>
      </c>
      <c r="CY57" s="37">
        <v>0</v>
      </c>
      <c r="CZ57" s="46"/>
      <c r="DA57" s="46"/>
      <c r="DB57" s="46"/>
      <c r="DC57" s="46"/>
      <c r="DD57" s="46"/>
      <c r="DE57" s="46"/>
      <c r="DF57" s="46"/>
      <c r="DG57" s="38">
        <f t="shared" si="17"/>
        <v>0</v>
      </c>
      <c r="DH57" s="37">
        <v>0</v>
      </c>
      <c r="DI57" s="46"/>
      <c r="DJ57" s="46"/>
      <c r="DK57" s="46"/>
      <c r="DL57" s="46"/>
      <c r="DM57" s="46"/>
      <c r="DN57" s="46"/>
      <c r="DO57" s="46"/>
      <c r="DP57" s="38">
        <f t="shared" si="18"/>
        <v>0</v>
      </c>
      <c r="DQ57" s="37">
        <v>0</v>
      </c>
      <c r="DR57" s="46"/>
      <c r="DS57" s="46"/>
      <c r="DT57" s="46"/>
      <c r="DU57" s="46"/>
      <c r="DV57" s="46"/>
      <c r="DW57" s="46"/>
      <c r="DX57" s="46"/>
      <c r="DY57" s="38">
        <f t="shared" si="19"/>
        <v>0</v>
      </c>
      <c r="DZ57" s="110">
        <v>0</v>
      </c>
      <c r="EA57" s="116"/>
      <c r="EB57" s="46"/>
      <c r="EC57" s="46"/>
      <c r="ED57" s="46"/>
      <c r="EE57" s="46"/>
      <c r="EF57" s="46"/>
      <c r="EG57" s="117"/>
      <c r="EH57" s="114">
        <f t="shared" si="20"/>
        <v>0</v>
      </c>
      <c r="EI57" s="74">
        <f t="shared" si="21"/>
        <v>0</v>
      </c>
      <c r="EJ57" s="75">
        <f t="shared" si="22"/>
        <v>0</v>
      </c>
      <c r="EK57" s="75">
        <f t="shared" si="23"/>
        <v>0</v>
      </c>
      <c r="EL57" s="75">
        <f t="shared" si="24"/>
        <v>0</v>
      </c>
      <c r="EM57" s="75">
        <f t="shared" si="25"/>
        <v>0</v>
      </c>
      <c r="EN57" s="75">
        <f t="shared" si="26"/>
        <v>0</v>
      </c>
      <c r="EO57" s="76">
        <f t="shared" si="27"/>
        <v>0</v>
      </c>
      <c r="EP57" s="71">
        <f t="shared" si="28"/>
        <v>0</v>
      </c>
      <c r="EQ57" s="71">
        <f t="shared" si="29"/>
        <v>0</v>
      </c>
      <c r="ER57" s="71">
        <f t="shared" si="30"/>
        <v>0</v>
      </c>
      <c r="ES57" s="71">
        <f t="shared" si="31"/>
        <v>0</v>
      </c>
      <c r="ET57" s="71">
        <f t="shared" si="33"/>
        <v>0</v>
      </c>
      <c r="EU57" s="71">
        <f t="shared" si="34"/>
        <v>0</v>
      </c>
      <c r="EV57" s="71">
        <f t="shared" si="35"/>
        <v>0</v>
      </c>
      <c r="EW57" s="15" t="e">
        <f t="shared" si="36"/>
        <v>#DIV/0!</v>
      </c>
      <c r="EX57" s="15" t="e">
        <f t="shared" si="37"/>
        <v>#DIV/0!</v>
      </c>
    </row>
    <row r="58" spans="1:154" ht="18" customHeight="1" thickBot="1" x14ac:dyDescent="0.3">
      <c r="A58" s="260" t="s">
        <v>86</v>
      </c>
      <c r="B58" s="263"/>
      <c r="C58" s="150">
        <f t="shared" si="38"/>
        <v>0</v>
      </c>
      <c r="D58" s="37">
        <v>0</v>
      </c>
      <c r="E58" s="130"/>
      <c r="F58" s="131"/>
      <c r="G58" s="131"/>
      <c r="H58" s="131"/>
      <c r="I58" s="131"/>
      <c r="J58" s="131"/>
      <c r="K58" s="132"/>
      <c r="L58" s="38">
        <f t="shared" si="0"/>
        <v>0</v>
      </c>
      <c r="M58" s="37">
        <v>0</v>
      </c>
      <c r="N58" s="130"/>
      <c r="O58" s="131"/>
      <c r="P58" s="131"/>
      <c r="Q58" s="131"/>
      <c r="R58" s="131"/>
      <c r="S58" s="131"/>
      <c r="T58" s="132"/>
      <c r="U58" s="38">
        <f t="shared" si="1"/>
        <v>0</v>
      </c>
      <c r="V58" s="37">
        <v>0</v>
      </c>
      <c r="W58" s="46"/>
      <c r="X58" s="46"/>
      <c r="Y58" s="46"/>
      <c r="Z58" s="46"/>
      <c r="AA58" s="46"/>
      <c r="AB58" s="46"/>
      <c r="AC58" s="46"/>
      <c r="AD58" s="38">
        <f t="shared" si="2"/>
        <v>0</v>
      </c>
      <c r="AE58" s="37">
        <v>0</v>
      </c>
      <c r="AF58" s="46"/>
      <c r="AG58" s="46"/>
      <c r="AH58" s="46"/>
      <c r="AI58" s="46"/>
      <c r="AJ58" s="46"/>
      <c r="AK58" s="46"/>
      <c r="AL58" s="46"/>
      <c r="AM58" s="38">
        <f t="shared" si="9"/>
        <v>0</v>
      </c>
      <c r="AN58" s="37">
        <v>0</v>
      </c>
      <c r="AO58" s="46"/>
      <c r="AP58" s="46"/>
      <c r="AQ58" s="46"/>
      <c r="AR58" s="46"/>
      <c r="AS58" s="46"/>
      <c r="AT58" s="46"/>
      <c r="AU58" s="46"/>
      <c r="AV58" s="38">
        <f t="shared" si="10"/>
        <v>0</v>
      </c>
      <c r="AW58" s="37">
        <v>0</v>
      </c>
      <c r="AX58" s="46"/>
      <c r="AY58" s="46"/>
      <c r="AZ58" s="46"/>
      <c r="BA58" s="46"/>
      <c r="BB58" s="46"/>
      <c r="BC58" s="46"/>
      <c r="BD58" s="46"/>
      <c r="BE58" s="38">
        <f t="shared" si="11"/>
        <v>0</v>
      </c>
      <c r="BF58" s="37">
        <v>0</v>
      </c>
      <c r="BG58" s="46"/>
      <c r="BH58" s="46"/>
      <c r="BI58" s="46"/>
      <c r="BJ58" s="46"/>
      <c r="BK58" s="46"/>
      <c r="BL58" s="46"/>
      <c r="BM58" s="46"/>
      <c r="BN58" s="38">
        <f t="shared" si="12"/>
        <v>0</v>
      </c>
      <c r="BO58" s="37">
        <v>0</v>
      </c>
      <c r="BP58" s="46"/>
      <c r="BQ58" s="46"/>
      <c r="BR58" s="46"/>
      <c r="BS58" s="46"/>
      <c r="BT58" s="46"/>
      <c r="BU58" s="46"/>
      <c r="BV58" s="46"/>
      <c r="BW58" s="38">
        <f t="shared" si="13"/>
        <v>0</v>
      </c>
      <c r="BX58" s="37">
        <v>0</v>
      </c>
      <c r="BY58" s="46"/>
      <c r="BZ58" s="46"/>
      <c r="CA58" s="46"/>
      <c r="CB58" s="46"/>
      <c r="CC58" s="46"/>
      <c r="CD58" s="46"/>
      <c r="CE58" s="46"/>
      <c r="CF58" s="38">
        <f t="shared" si="14"/>
        <v>0</v>
      </c>
      <c r="CG58" s="37">
        <v>0</v>
      </c>
      <c r="CH58" s="46"/>
      <c r="CI58" s="46"/>
      <c r="CJ58" s="46"/>
      <c r="CK58" s="46"/>
      <c r="CL58" s="46"/>
      <c r="CM58" s="46"/>
      <c r="CN58" s="46"/>
      <c r="CO58" s="38">
        <f t="shared" si="15"/>
        <v>0</v>
      </c>
      <c r="CP58" s="37">
        <v>0</v>
      </c>
      <c r="CQ58" s="46"/>
      <c r="CR58" s="46"/>
      <c r="CS58" s="46"/>
      <c r="CT58" s="46"/>
      <c r="CU58" s="46"/>
      <c r="CV58" s="46"/>
      <c r="CW58" s="46"/>
      <c r="CX58" s="38">
        <f t="shared" si="16"/>
        <v>0</v>
      </c>
      <c r="CY58" s="37">
        <v>0</v>
      </c>
      <c r="CZ58" s="46"/>
      <c r="DA58" s="46"/>
      <c r="DB58" s="46"/>
      <c r="DC58" s="46"/>
      <c r="DD58" s="46"/>
      <c r="DE58" s="46"/>
      <c r="DF58" s="46"/>
      <c r="DG58" s="38">
        <f t="shared" si="17"/>
        <v>0</v>
      </c>
      <c r="DH58" s="37">
        <v>0</v>
      </c>
      <c r="DI58" s="46"/>
      <c r="DJ58" s="46"/>
      <c r="DK58" s="46"/>
      <c r="DL58" s="46"/>
      <c r="DM58" s="46"/>
      <c r="DN58" s="46"/>
      <c r="DO58" s="46"/>
      <c r="DP58" s="38">
        <f t="shared" si="18"/>
        <v>0</v>
      </c>
      <c r="DQ58" s="37">
        <v>0</v>
      </c>
      <c r="DR58" s="46"/>
      <c r="DS58" s="46"/>
      <c r="DT58" s="46"/>
      <c r="DU58" s="46"/>
      <c r="DV58" s="46"/>
      <c r="DW58" s="46"/>
      <c r="DX58" s="46"/>
      <c r="DY58" s="38">
        <f t="shared" si="19"/>
        <v>0</v>
      </c>
      <c r="DZ58" s="110">
        <v>0</v>
      </c>
      <c r="EA58" s="116"/>
      <c r="EB58" s="46"/>
      <c r="EC58" s="46"/>
      <c r="ED58" s="46"/>
      <c r="EE58" s="46"/>
      <c r="EF58" s="46"/>
      <c r="EG58" s="117"/>
      <c r="EH58" s="114">
        <f t="shared" si="20"/>
        <v>0</v>
      </c>
      <c r="EI58" s="74">
        <f t="shared" si="21"/>
        <v>0</v>
      </c>
      <c r="EJ58" s="75">
        <f t="shared" si="22"/>
        <v>0</v>
      </c>
      <c r="EK58" s="75">
        <f t="shared" si="23"/>
        <v>0</v>
      </c>
      <c r="EL58" s="75">
        <f t="shared" si="24"/>
        <v>0</v>
      </c>
      <c r="EM58" s="75">
        <f t="shared" si="25"/>
        <v>0</v>
      </c>
      <c r="EN58" s="75">
        <f t="shared" si="26"/>
        <v>0</v>
      </c>
      <c r="EO58" s="76">
        <f t="shared" si="27"/>
        <v>0</v>
      </c>
      <c r="EP58" s="71">
        <f t="shared" si="28"/>
        <v>0</v>
      </c>
      <c r="EQ58" s="71">
        <f t="shared" si="29"/>
        <v>0</v>
      </c>
      <c r="ER58" s="71">
        <f t="shared" si="30"/>
        <v>0</v>
      </c>
      <c r="ES58" s="71">
        <f t="shared" si="31"/>
        <v>0</v>
      </c>
      <c r="ET58" s="71">
        <f t="shared" si="33"/>
        <v>0</v>
      </c>
      <c r="EU58" s="71">
        <f t="shared" si="34"/>
        <v>0</v>
      </c>
      <c r="EV58" s="71">
        <f t="shared" si="35"/>
        <v>0</v>
      </c>
      <c r="EW58" s="15" t="e">
        <f t="shared" si="36"/>
        <v>#DIV/0!</v>
      </c>
      <c r="EX58" s="15" t="e">
        <f t="shared" si="37"/>
        <v>#DIV/0!</v>
      </c>
    </row>
    <row r="59" spans="1:154" ht="18" customHeight="1" thickBot="1" x14ac:dyDescent="0.3">
      <c r="A59" s="258"/>
      <c r="B59" s="263"/>
      <c r="C59" s="150">
        <v>0</v>
      </c>
      <c r="D59" s="37">
        <v>0</v>
      </c>
      <c r="E59" s="130"/>
      <c r="F59" s="131"/>
      <c r="G59" s="131"/>
      <c r="H59" s="131"/>
      <c r="I59" s="131"/>
      <c r="J59" s="131"/>
      <c r="K59" s="132"/>
      <c r="L59" s="38">
        <f t="shared" si="0"/>
        <v>0</v>
      </c>
      <c r="M59" s="37">
        <v>0</v>
      </c>
      <c r="N59" s="130"/>
      <c r="O59" s="131"/>
      <c r="P59" s="131"/>
      <c r="Q59" s="131"/>
      <c r="R59" s="131"/>
      <c r="S59" s="131"/>
      <c r="T59" s="132"/>
      <c r="U59" s="38">
        <f t="shared" si="1"/>
        <v>0</v>
      </c>
      <c r="V59" s="37">
        <v>0</v>
      </c>
      <c r="W59" s="46"/>
      <c r="X59" s="46"/>
      <c r="Y59" s="46"/>
      <c r="Z59" s="46"/>
      <c r="AA59" s="46"/>
      <c r="AB59" s="46"/>
      <c r="AC59" s="46"/>
      <c r="AD59" s="38">
        <f t="shared" si="2"/>
        <v>0</v>
      </c>
      <c r="AE59" s="37">
        <v>0</v>
      </c>
      <c r="AF59" s="46"/>
      <c r="AG59" s="46"/>
      <c r="AH59" s="46"/>
      <c r="AI59" s="46"/>
      <c r="AJ59" s="46"/>
      <c r="AK59" s="46"/>
      <c r="AL59" s="46"/>
      <c r="AM59" s="38">
        <f t="shared" si="9"/>
        <v>0</v>
      </c>
      <c r="AN59" s="37">
        <v>0</v>
      </c>
      <c r="AO59" s="46"/>
      <c r="AP59" s="46"/>
      <c r="AQ59" s="46"/>
      <c r="AR59" s="46"/>
      <c r="AS59" s="46"/>
      <c r="AT59" s="46"/>
      <c r="AU59" s="46"/>
      <c r="AV59" s="38">
        <f t="shared" si="10"/>
        <v>0</v>
      </c>
      <c r="AW59" s="37">
        <v>0</v>
      </c>
      <c r="AX59" s="46"/>
      <c r="AY59" s="46"/>
      <c r="AZ59" s="46"/>
      <c r="BA59" s="46"/>
      <c r="BB59" s="46"/>
      <c r="BC59" s="46"/>
      <c r="BD59" s="46"/>
      <c r="BE59" s="38">
        <f t="shared" si="11"/>
        <v>0</v>
      </c>
      <c r="BF59" s="37">
        <v>0</v>
      </c>
      <c r="BG59" s="46"/>
      <c r="BH59" s="46"/>
      <c r="BI59" s="46"/>
      <c r="BJ59" s="46"/>
      <c r="BK59" s="46"/>
      <c r="BL59" s="46"/>
      <c r="BM59" s="46"/>
      <c r="BN59" s="38">
        <f t="shared" si="12"/>
        <v>0</v>
      </c>
      <c r="BO59" s="37">
        <v>0</v>
      </c>
      <c r="BP59" s="46"/>
      <c r="BQ59" s="46"/>
      <c r="BR59" s="46"/>
      <c r="BS59" s="46"/>
      <c r="BT59" s="46"/>
      <c r="BU59" s="46"/>
      <c r="BV59" s="46"/>
      <c r="BW59" s="38">
        <f t="shared" si="13"/>
        <v>0</v>
      </c>
      <c r="BX59" s="37">
        <v>0</v>
      </c>
      <c r="BY59" s="46"/>
      <c r="BZ59" s="46"/>
      <c r="CA59" s="46"/>
      <c r="CB59" s="46"/>
      <c r="CC59" s="46"/>
      <c r="CD59" s="46"/>
      <c r="CE59" s="46"/>
      <c r="CF59" s="38">
        <f t="shared" si="14"/>
        <v>0</v>
      </c>
      <c r="CG59" s="37">
        <v>0</v>
      </c>
      <c r="CH59" s="46"/>
      <c r="CI59" s="46"/>
      <c r="CJ59" s="46"/>
      <c r="CK59" s="46"/>
      <c r="CL59" s="46"/>
      <c r="CM59" s="46"/>
      <c r="CN59" s="46"/>
      <c r="CO59" s="38">
        <f t="shared" si="15"/>
        <v>0</v>
      </c>
      <c r="CP59" s="37">
        <v>0</v>
      </c>
      <c r="CQ59" s="46"/>
      <c r="CR59" s="46"/>
      <c r="CS59" s="46"/>
      <c r="CT59" s="46"/>
      <c r="CU59" s="46"/>
      <c r="CV59" s="46"/>
      <c r="CW59" s="46"/>
      <c r="CX59" s="38">
        <f t="shared" si="16"/>
        <v>0</v>
      </c>
      <c r="CY59" s="37">
        <v>0</v>
      </c>
      <c r="CZ59" s="46"/>
      <c r="DA59" s="46"/>
      <c r="DB59" s="46"/>
      <c r="DC59" s="46"/>
      <c r="DD59" s="46"/>
      <c r="DE59" s="46"/>
      <c r="DF59" s="46"/>
      <c r="DG59" s="38">
        <f t="shared" si="17"/>
        <v>0</v>
      </c>
      <c r="DH59" s="37">
        <v>0</v>
      </c>
      <c r="DI59" s="46"/>
      <c r="DJ59" s="46"/>
      <c r="DK59" s="46"/>
      <c r="DL59" s="46"/>
      <c r="DM59" s="46"/>
      <c r="DN59" s="46"/>
      <c r="DO59" s="46"/>
      <c r="DP59" s="38">
        <f t="shared" si="18"/>
        <v>0</v>
      </c>
      <c r="DQ59" s="37">
        <v>0</v>
      </c>
      <c r="DR59" s="46"/>
      <c r="DS59" s="46"/>
      <c r="DT59" s="46"/>
      <c r="DU59" s="46"/>
      <c r="DV59" s="46"/>
      <c r="DW59" s="46"/>
      <c r="DX59" s="46"/>
      <c r="DY59" s="38">
        <f t="shared" si="19"/>
        <v>0</v>
      </c>
      <c r="DZ59" s="110">
        <v>0</v>
      </c>
      <c r="EA59" s="116"/>
      <c r="EB59" s="46"/>
      <c r="EC59" s="46"/>
      <c r="ED59" s="46"/>
      <c r="EE59" s="46"/>
      <c r="EF59" s="46"/>
      <c r="EG59" s="117"/>
      <c r="EH59" s="114">
        <f t="shared" si="20"/>
        <v>0</v>
      </c>
      <c r="EI59" s="74">
        <f t="shared" si="21"/>
        <v>0</v>
      </c>
      <c r="EJ59" s="75">
        <f t="shared" si="22"/>
        <v>0</v>
      </c>
      <c r="EK59" s="75">
        <f t="shared" si="23"/>
        <v>0</v>
      </c>
      <c r="EL59" s="75">
        <f t="shared" si="24"/>
        <v>0</v>
      </c>
      <c r="EM59" s="75">
        <f t="shared" si="25"/>
        <v>0</v>
      </c>
      <c r="EN59" s="75">
        <f t="shared" si="26"/>
        <v>0</v>
      </c>
      <c r="EO59" s="76">
        <f t="shared" si="27"/>
        <v>0</v>
      </c>
      <c r="EP59" s="71">
        <f t="shared" si="28"/>
        <v>0</v>
      </c>
      <c r="EQ59" s="71">
        <f t="shared" si="29"/>
        <v>0</v>
      </c>
      <c r="ER59" s="71">
        <f t="shared" si="30"/>
        <v>0</v>
      </c>
      <c r="ES59" s="71">
        <f t="shared" si="31"/>
        <v>0</v>
      </c>
      <c r="ET59" s="71">
        <f t="shared" si="33"/>
        <v>0</v>
      </c>
      <c r="EU59" s="71">
        <f t="shared" si="34"/>
        <v>0</v>
      </c>
      <c r="EV59" s="71">
        <f t="shared" si="35"/>
        <v>0</v>
      </c>
      <c r="EW59" s="15" t="e">
        <f t="shared" si="36"/>
        <v>#DIV/0!</v>
      </c>
      <c r="EX59" s="15" t="e">
        <f t="shared" si="37"/>
        <v>#DIV/0!</v>
      </c>
    </row>
    <row r="60" spans="1:154" ht="18" customHeight="1" thickBot="1" x14ac:dyDescent="0.3">
      <c r="A60" s="260" t="s">
        <v>87</v>
      </c>
      <c r="B60" s="261"/>
      <c r="C60" s="150">
        <f t="shared" si="38"/>
        <v>0</v>
      </c>
      <c r="D60" s="37">
        <v>0</v>
      </c>
      <c r="E60" s="130"/>
      <c r="F60" s="131"/>
      <c r="G60" s="131"/>
      <c r="H60" s="131"/>
      <c r="I60" s="131"/>
      <c r="J60" s="131"/>
      <c r="K60" s="132"/>
      <c r="L60" s="38">
        <f t="shared" si="0"/>
        <v>0</v>
      </c>
      <c r="M60" s="37">
        <v>0</v>
      </c>
      <c r="N60" s="130"/>
      <c r="O60" s="131"/>
      <c r="P60" s="131"/>
      <c r="Q60" s="131"/>
      <c r="R60" s="131"/>
      <c r="S60" s="131"/>
      <c r="T60" s="132"/>
      <c r="U60" s="38">
        <f t="shared" si="1"/>
        <v>0</v>
      </c>
      <c r="V60" s="37">
        <v>0</v>
      </c>
      <c r="W60" s="46"/>
      <c r="X60" s="46"/>
      <c r="Y60" s="46"/>
      <c r="Z60" s="46"/>
      <c r="AA60" s="46"/>
      <c r="AB60" s="46"/>
      <c r="AC60" s="46"/>
      <c r="AD60" s="38">
        <f t="shared" si="2"/>
        <v>0</v>
      </c>
      <c r="AE60" s="37">
        <v>0</v>
      </c>
      <c r="AF60" s="46"/>
      <c r="AG60" s="46"/>
      <c r="AH60" s="46"/>
      <c r="AI60" s="46"/>
      <c r="AJ60" s="46"/>
      <c r="AK60" s="46"/>
      <c r="AL60" s="46"/>
      <c r="AM60" s="38">
        <f t="shared" si="9"/>
        <v>0</v>
      </c>
      <c r="AN60" s="37">
        <v>0</v>
      </c>
      <c r="AO60" s="46"/>
      <c r="AP60" s="46"/>
      <c r="AQ60" s="46"/>
      <c r="AR60" s="46"/>
      <c r="AS60" s="46"/>
      <c r="AT60" s="46"/>
      <c r="AU60" s="46"/>
      <c r="AV60" s="38">
        <f t="shared" si="10"/>
        <v>0</v>
      </c>
      <c r="AW60" s="37">
        <v>0</v>
      </c>
      <c r="AX60" s="46"/>
      <c r="AY60" s="46"/>
      <c r="AZ60" s="46"/>
      <c r="BA60" s="46"/>
      <c r="BB60" s="46"/>
      <c r="BC60" s="46"/>
      <c r="BD60" s="46"/>
      <c r="BE60" s="38">
        <f t="shared" si="11"/>
        <v>0</v>
      </c>
      <c r="BF60" s="37">
        <v>0</v>
      </c>
      <c r="BG60" s="46"/>
      <c r="BH60" s="46"/>
      <c r="BI60" s="46"/>
      <c r="BJ60" s="46"/>
      <c r="BK60" s="46"/>
      <c r="BL60" s="46"/>
      <c r="BM60" s="46"/>
      <c r="BN60" s="38">
        <f t="shared" si="12"/>
        <v>0</v>
      </c>
      <c r="BO60" s="37">
        <v>0</v>
      </c>
      <c r="BP60" s="46"/>
      <c r="BQ60" s="46"/>
      <c r="BR60" s="46"/>
      <c r="BS60" s="46"/>
      <c r="BT60" s="46"/>
      <c r="BU60" s="46"/>
      <c r="BV60" s="46"/>
      <c r="BW60" s="38">
        <f t="shared" si="13"/>
        <v>0</v>
      </c>
      <c r="BX60" s="37">
        <v>0</v>
      </c>
      <c r="BY60" s="46"/>
      <c r="BZ60" s="46"/>
      <c r="CA60" s="46"/>
      <c r="CB60" s="46"/>
      <c r="CC60" s="46"/>
      <c r="CD60" s="46"/>
      <c r="CE60" s="46"/>
      <c r="CF60" s="38">
        <f t="shared" si="14"/>
        <v>0</v>
      </c>
      <c r="CG60" s="37">
        <v>0</v>
      </c>
      <c r="CH60" s="46"/>
      <c r="CI60" s="46"/>
      <c r="CJ60" s="46"/>
      <c r="CK60" s="46"/>
      <c r="CL60" s="46"/>
      <c r="CM60" s="46"/>
      <c r="CN60" s="46"/>
      <c r="CO60" s="38">
        <f t="shared" si="15"/>
        <v>0</v>
      </c>
      <c r="CP60" s="37">
        <v>0</v>
      </c>
      <c r="CQ60" s="46"/>
      <c r="CR60" s="46"/>
      <c r="CS60" s="46"/>
      <c r="CT60" s="46"/>
      <c r="CU60" s="46"/>
      <c r="CV60" s="46"/>
      <c r="CW60" s="46"/>
      <c r="CX60" s="38">
        <f t="shared" si="16"/>
        <v>0</v>
      </c>
      <c r="CY60" s="37">
        <v>0</v>
      </c>
      <c r="CZ60" s="46"/>
      <c r="DA60" s="46"/>
      <c r="DB60" s="46"/>
      <c r="DC60" s="46"/>
      <c r="DD60" s="46"/>
      <c r="DE60" s="46"/>
      <c r="DF60" s="46"/>
      <c r="DG60" s="38">
        <f t="shared" si="17"/>
        <v>0</v>
      </c>
      <c r="DH60" s="37">
        <v>0</v>
      </c>
      <c r="DI60" s="46"/>
      <c r="DJ60" s="46"/>
      <c r="DK60" s="46"/>
      <c r="DL60" s="46"/>
      <c r="DM60" s="46"/>
      <c r="DN60" s="46"/>
      <c r="DO60" s="46"/>
      <c r="DP60" s="38">
        <f t="shared" si="18"/>
        <v>0</v>
      </c>
      <c r="DQ60" s="37">
        <v>0</v>
      </c>
      <c r="DR60" s="46"/>
      <c r="DS60" s="46"/>
      <c r="DT60" s="46"/>
      <c r="DU60" s="46"/>
      <c r="DV60" s="46"/>
      <c r="DW60" s="46"/>
      <c r="DX60" s="46"/>
      <c r="DY60" s="38">
        <f t="shared" si="19"/>
        <v>0</v>
      </c>
      <c r="DZ60" s="110">
        <v>0</v>
      </c>
      <c r="EA60" s="116"/>
      <c r="EB60" s="46"/>
      <c r="EC60" s="46"/>
      <c r="ED60" s="46"/>
      <c r="EE60" s="46"/>
      <c r="EF60" s="46"/>
      <c r="EG60" s="117"/>
      <c r="EH60" s="114">
        <f t="shared" si="20"/>
        <v>0</v>
      </c>
      <c r="EI60" s="74">
        <f t="shared" si="21"/>
        <v>0</v>
      </c>
      <c r="EJ60" s="75">
        <f t="shared" si="22"/>
        <v>0</v>
      </c>
      <c r="EK60" s="75">
        <f t="shared" si="23"/>
        <v>0</v>
      </c>
      <c r="EL60" s="75">
        <f t="shared" si="24"/>
        <v>0</v>
      </c>
      <c r="EM60" s="75">
        <f t="shared" si="25"/>
        <v>0</v>
      </c>
      <c r="EN60" s="75">
        <f t="shared" si="26"/>
        <v>0</v>
      </c>
      <c r="EO60" s="76">
        <f t="shared" si="27"/>
        <v>0</v>
      </c>
      <c r="EP60" s="71">
        <f t="shared" si="28"/>
        <v>0</v>
      </c>
      <c r="EQ60" s="71">
        <f t="shared" si="29"/>
        <v>0</v>
      </c>
      <c r="ER60" s="71">
        <f t="shared" si="30"/>
        <v>0</v>
      </c>
      <c r="ES60" s="71">
        <f t="shared" si="31"/>
        <v>0</v>
      </c>
      <c r="ET60" s="71">
        <f t="shared" si="33"/>
        <v>0</v>
      </c>
      <c r="EU60" s="71">
        <f t="shared" si="34"/>
        <v>0</v>
      </c>
      <c r="EV60" s="71">
        <f t="shared" si="35"/>
        <v>0</v>
      </c>
      <c r="EW60" s="15" t="e">
        <f t="shared" si="36"/>
        <v>#DIV/0!</v>
      </c>
      <c r="EX60" s="15" t="e">
        <f t="shared" si="37"/>
        <v>#DIV/0!</v>
      </c>
    </row>
    <row r="61" spans="1:154" ht="18" customHeight="1" thickBot="1" x14ac:dyDescent="0.3">
      <c r="A61" s="264"/>
      <c r="B61" s="265"/>
      <c r="C61" s="150">
        <v>0</v>
      </c>
      <c r="D61" s="37">
        <v>0</v>
      </c>
      <c r="E61" s="133"/>
      <c r="F61" s="134"/>
      <c r="G61" s="134"/>
      <c r="H61" s="134"/>
      <c r="I61" s="134"/>
      <c r="J61" s="134"/>
      <c r="K61" s="135"/>
      <c r="L61" s="38">
        <f t="shared" si="0"/>
        <v>0</v>
      </c>
      <c r="M61" s="37">
        <v>0</v>
      </c>
      <c r="N61" s="133"/>
      <c r="O61" s="134"/>
      <c r="P61" s="134"/>
      <c r="Q61" s="134"/>
      <c r="R61" s="134"/>
      <c r="S61" s="134"/>
      <c r="T61" s="135"/>
      <c r="U61" s="38">
        <f t="shared" si="1"/>
        <v>0</v>
      </c>
      <c r="V61" s="37">
        <v>0</v>
      </c>
      <c r="W61" s="46"/>
      <c r="X61" s="46"/>
      <c r="Y61" s="46"/>
      <c r="Z61" s="46"/>
      <c r="AA61" s="46"/>
      <c r="AB61" s="46"/>
      <c r="AC61" s="46"/>
      <c r="AD61" s="38">
        <f t="shared" si="2"/>
        <v>0</v>
      </c>
      <c r="AE61" s="37">
        <v>0</v>
      </c>
      <c r="AF61" s="46"/>
      <c r="AG61" s="46"/>
      <c r="AH61" s="46"/>
      <c r="AI61" s="46"/>
      <c r="AJ61" s="46"/>
      <c r="AK61" s="46"/>
      <c r="AL61" s="46"/>
      <c r="AM61" s="38">
        <f t="shared" si="9"/>
        <v>0</v>
      </c>
      <c r="AN61" s="37">
        <v>0</v>
      </c>
      <c r="AO61" s="46"/>
      <c r="AP61" s="46"/>
      <c r="AQ61" s="46"/>
      <c r="AR61" s="46"/>
      <c r="AS61" s="46"/>
      <c r="AT61" s="46"/>
      <c r="AU61" s="46"/>
      <c r="AV61" s="38">
        <f t="shared" si="10"/>
        <v>0</v>
      </c>
      <c r="AW61" s="37">
        <v>0</v>
      </c>
      <c r="AX61" s="46"/>
      <c r="AY61" s="46"/>
      <c r="AZ61" s="46"/>
      <c r="BA61" s="46"/>
      <c r="BB61" s="46"/>
      <c r="BC61" s="46"/>
      <c r="BD61" s="46"/>
      <c r="BE61" s="38">
        <f t="shared" si="11"/>
        <v>0</v>
      </c>
      <c r="BF61" s="37">
        <v>0</v>
      </c>
      <c r="BG61" s="46"/>
      <c r="BH61" s="46"/>
      <c r="BI61" s="46"/>
      <c r="BJ61" s="46"/>
      <c r="BK61" s="46"/>
      <c r="BL61" s="46"/>
      <c r="BM61" s="46"/>
      <c r="BN61" s="38">
        <f t="shared" si="12"/>
        <v>0</v>
      </c>
      <c r="BO61" s="37">
        <v>0</v>
      </c>
      <c r="BP61" s="46"/>
      <c r="BQ61" s="46"/>
      <c r="BR61" s="46"/>
      <c r="BS61" s="46"/>
      <c r="BT61" s="46"/>
      <c r="BU61" s="46"/>
      <c r="BV61" s="46"/>
      <c r="BW61" s="38">
        <f t="shared" si="13"/>
        <v>0</v>
      </c>
      <c r="BX61" s="37">
        <v>0</v>
      </c>
      <c r="BY61" s="46"/>
      <c r="BZ61" s="46"/>
      <c r="CA61" s="46"/>
      <c r="CB61" s="46"/>
      <c r="CC61" s="46"/>
      <c r="CD61" s="46"/>
      <c r="CE61" s="46"/>
      <c r="CF61" s="38">
        <f t="shared" si="14"/>
        <v>0</v>
      </c>
      <c r="CG61" s="37">
        <v>0</v>
      </c>
      <c r="CH61" s="46"/>
      <c r="CI61" s="46"/>
      <c r="CJ61" s="46"/>
      <c r="CK61" s="46"/>
      <c r="CL61" s="46"/>
      <c r="CM61" s="46"/>
      <c r="CN61" s="46"/>
      <c r="CO61" s="38">
        <f t="shared" si="15"/>
        <v>0</v>
      </c>
      <c r="CP61" s="37">
        <v>0</v>
      </c>
      <c r="CQ61" s="46"/>
      <c r="CR61" s="46"/>
      <c r="CS61" s="46"/>
      <c r="CT61" s="46"/>
      <c r="CU61" s="46"/>
      <c r="CV61" s="46"/>
      <c r="CW61" s="46"/>
      <c r="CX61" s="38">
        <f t="shared" si="16"/>
        <v>0</v>
      </c>
      <c r="CY61" s="37">
        <v>0</v>
      </c>
      <c r="CZ61" s="46"/>
      <c r="DA61" s="46"/>
      <c r="DB61" s="46"/>
      <c r="DC61" s="46"/>
      <c r="DD61" s="46"/>
      <c r="DE61" s="46"/>
      <c r="DF61" s="46"/>
      <c r="DG61" s="38">
        <f t="shared" si="17"/>
        <v>0</v>
      </c>
      <c r="DH61" s="37">
        <v>0</v>
      </c>
      <c r="DI61" s="46"/>
      <c r="DJ61" s="46"/>
      <c r="DK61" s="46"/>
      <c r="DL61" s="46"/>
      <c r="DM61" s="46"/>
      <c r="DN61" s="46"/>
      <c r="DO61" s="46"/>
      <c r="DP61" s="38">
        <f t="shared" si="18"/>
        <v>0</v>
      </c>
      <c r="DQ61" s="37">
        <v>0</v>
      </c>
      <c r="DR61" s="46"/>
      <c r="DS61" s="46"/>
      <c r="DT61" s="46"/>
      <c r="DU61" s="46"/>
      <c r="DV61" s="46"/>
      <c r="DW61" s="46"/>
      <c r="DX61" s="46"/>
      <c r="DY61" s="38">
        <f t="shared" si="19"/>
        <v>0</v>
      </c>
      <c r="DZ61" s="110">
        <v>0</v>
      </c>
      <c r="EA61" s="116"/>
      <c r="EB61" s="46"/>
      <c r="EC61" s="46"/>
      <c r="ED61" s="46"/>
      <c r="EE61" s="46"/>
      <c r="EF61" s="46"/>
      <c r="EG61" s="117"/>
      <c r="EH61" s="114">
        <f t="shared" si="20"/>
        <v>0</v>
      </c>
      <c r="EI61" s="74">
        <f t="shared" si="21"/>
        <v>0</v>
      </c>
      <c r="EJ61" s="75">
        <f t="shared" si="22"/>
        <v>0</v>
      </c>
      <c r="EK61" s="75">
        <f t="shared" si="23"/>
        <v>0</v>
      </c>
      <c r="EL61" s="75">
        <f t="shared" si="24"/>
        <v>0</v>
      </c>
      <c r="EM61" s="75">
        <f t="shared" si="25"/>
        <v>0</v>
      </c>
      <c r="EN61" s="75">
        <f t="shared" si="26"/>
        <v>0</v>
      </c>
      <c r="EO61" s="76">
        <f t="shared" si="27"/>
        <v>0</v>
      </c>
      <c r="EP61" s="71">
        <f t="shared" si="28"/>
        <v>0</v>
      </c>
      <c r="EQ61" s="71">
        <f t="shared" si="29"/>
        <v>0</v>
      </c>
      <c r="ER61" s="71">
        <f t="shared" si="30"/>
        <v>0</v>
      </c>
      <c r="ES61" s="71">
        <f t="shared" si="31"/>
        <v>0</v>
      </c>
      <c r="ET61" s="71">
        <f t="shared" si="33"/>
        <v>0</v>
      </c>
      <c r="EU61" s="71">
        <f t="shared" si="34"/>
        <v>0</v>
      </c>
      <c r="EV61" s="71">
        <f t="shared" si="35"/>
        <v>0</v>
      </c>
      <c r="EW61" s="15" t="e">
        <f t="shared" si="36"/>
        <v>#DIV/0!</v>
      </c>
      <c r="EX61" s="15" t="e">
        <f t="shared" si="37"/>
        <v>#DIV/0!</v>
      </c>
    </row>
    <row r="62" spans="1:154" ht="18" customHeight="1" thickBot="1" x14ac:dyDescent="0.3">
      <c r="A62" s="266" t="s">
        <v>88</v>
      </c>
      <c r="B62" s="267"/>
      <c r="C62" s="151">
        <f t="shared" si="38"/>
        <v>0</v>
      </c>
      <c r="D62" s="39">
        <v>0</v>
      </c>
      <c r="E62" s="136"/>
      <c r="F62" s="137"/>
      <c r="G62" s="137"/>
      <c r="H62" s="137"/>
      <c r="I62" s="137"/>
      <c r="J62" s="137"/>
      <c r="K62" s="138"/>
      <c r="L62" s="68">
        <f t="shared" si="0"/>
        <v>0</v>
      </c>
      <c r="M62" s="69">
        <v>0</v>
      </c>
      <c r="N62" s="136"/>
      <c r="O62" s="137"/>
      <c r="P62" s="137"/>
      <c r="Q62" s="137"/>
      <c r="R62" s="137"/>
      <c r="S62" s="137"/>
      <c r="T62" s="138"/>
      <c r="U62" s="68">
        <f t="shared" si="1"/>
        <v>0</v>
      </c>
      <c r="V62" s="69">
        <v>0</v>
      </c>
      <c r="W62" s="70"/>
      <c r="X62" s="70"/>
      <c r="Y62" s="70"/>
      <c r="Z62" s="70"/>
      <c r="AA62" s="70"/>
      <c r="AB62" s="70"/>
      <c r="AC62" s="70"/>
      <c r="AD62" s="68">
        <f t="shared" si="2"/>
        <v>0</v>
      </c>
      <c r="AE62" s="69">
        <v>0</v>
      </c>
      <c r="AF62" s="70"/>
      <c r="AG62" s="70"/>
      <c r="AH62" s="70"/>
      <c r="AI62" s="70"/>
      <c r="AJ62" s="70"/>
      <c r="AK62" s="70"/>
      <c r="AL62" s="70"/>
      <c r="AM62" s="68">
        <f t="shared" si="9"/>
        <v>0</v>
      </c>
      <c r="AN62" s="69">
        <v>0</v>
      </c>
      <c r="AO62" s="70"/>
      <c r="AP62" s="70"/>
      <c r="AQ62" s="70"/>
      <c r="AR62" s="70"/>
      <c r="AS62" s="70"/>
      <c r="AT62" s="70"/>
      <c r="AU62" s="70"/>
      <c r="AV62" s="68">
        <f t="shared" si="10"/>
        <v>0</v>
      </c>
      <c r="AW62" s="69">
        <v>0</v>
      </c>
      <c r="AX62" s="70"/>
      <c r="AY62" s="70"/>
      <c r="AZ62" s="70"/>
      <c r="BA62" s="70"/>
      <c r="BB62" s="70"/>
      <c r="BC62" s="70"/>
      <c r="BD62" s="70"/>
      <c r="BE62" s="68">
        <f t="shared" si="11"/>
        <v>0</v>
      </c>
      <c r="BF62" s="69">
        <v>0</v>
      </c>
      <c r="BG62" s="70"/>
      <c r="BH62" s="70"/>
      <c r="BI62" s="70"/>
      <c r="BJ62" s="70"/>
      <c r="BK62" s="70"/>
      <c r="BL62" s="70"/>
      <c r="BM62" s="70"/>
      <c r="BN62" s="68">
        <f>IF(BP$1="Wettkampf 8",0,IF(BE62=1,1,0))</f>
        <v>0</v>
      </c>
      <c r="BO62" s="69">
        <v>0</v>
      </c>
      <c r="BP62" s="70"/>
      <c r="BQ62" s="70"/>
      <c r="BR62" s="70"/>
      <c r="BS62" s="70"/>
      <c r="BT62" s="70"/>
      <c r="BU62" s="70"/>
      <c r="BV62" s="70"/>
      <c r="BW62" s="68">
        <f t="shared" si="13"/>
        <v>0</v>
      </c>
      <c r="BX62" s="69">
        <v>0</v>
      </c>
      <c r="BY62" s="70"/>
      <c r="BZ62" s="70"/>
      <c r="CA62" s="70"/>
      <c r="CB62" s="70"/>
      <c r="CC62" s="70"/>
      <c r="CD62" s="70"/>
      <c r="CE62" s="70"/>
      <c r="CF62" s="68">
        <f t="shared" si="14"/>
        <v>0</v>
      </c>
      <c r="CG62" s="69">
        <v>0</v>
      </c>
      <c r="CH62" s="70"/>
      <c r="CI62" s="70"/>
      <c r="CJ62" s="70"/>
      <c r="CK62" s="70"/>
      <c r="CL62" s="70"/>
      <c r="CM62" s="70"/>
      <c r="CN62" s="70"/>
      <c r="CO62" s="68">
        <f t="shared" si="15"/>
        <v>0</v>
      </c>
      <c r="CP62" s="69">
        <v>0</v>
      </c>
      <c r="CQ62" s="70"/>
      <c r="CR62" s="70"/>
      <c r="CS62" s="70"/>
      <c r="CT62" s="70"/>
      <c r="CU62" s="70"/>
      <c r="CV62" s="70"/>
      <c r="CW62" s="70"/>
      <c r="CX62" s="68">
        <f t="shared" si="16"/>
        <v>0</v>
      </c>
      <c r="CY62" s="69">
        <v>0</v>
      </c>
      <c r="CZ62" s="70"/>
      <c r="DA62" s="70"/>
      <c r="DB62" s="70"/>
      <c r="DC62" s="70"/>
      <c r="DD62" s="70"/>
      <c r="DE62" s="70"/>
      <c r="DF62" s="70"/>
      <c r="DG62" s="68">
        <f t="shared" si="17"/>
        <v>0</v>
      </c>
      <c r="DH62" s="69">
        <v>0</v>
      </c>
      <c r="DI62" s="70"/>
      <c r="DJ62" s="70"/>
      <c r="DK62" s="70"/>
      <c r="DL62" s="70"/>
      <c r="DM62" s="70"/>
      <c r="DN62" s="70"/>
      <c r="DO62" s="70"/>
      <c r="DP62" s="68">
        <f t="shared" si="18"/>
        <v>0</v>
      </c>
      <c r="DQ62" s="69">
        <v>0</v>
      </c>
      <c r="DR62" s="70"/>
      <c r="DS62" s="70"/>
      <c r="DT62" s="70"/>
      <c r="DU62" s="70"/>
      <c r="DV62" s="70"/>
      <c r="DW62" s="70"/>
      <c r="DX62" s="70"/>
      <c r="DY62" s="68">
        <f t="shared" si="19"/>
        <v>0</v>
      </c>
      <c r="DZ62" s="111">
        <v>0</v>
      </c>
      <c r="EA62" s="118"/>
      <c r="EB62" s="70"/>
      <c r="EC62" s="70"/>
      <c r="ED62" s="70"/>
      <c r="EE62" s="70"/>
      <c r="EF62" s="70"/>
      <c r="EG62" s="119"/>
      <c r="EH62" s="115">
        <f t="shared" si="20"/>
        <v>0</v>
      </c>
      <c r="EI62" s="74">
        <f t="shared" si="21"/>
        <v>0</v>
      </c>
      <c r="EJ62" s="75">
        <f t="shared" si="22"/>
        <v>0</v>
      </c>
      <c r="EK62" s="75">
        <f t="shared" si="23"/>
        <v>0</v>
      </c>
      <c r="EL62" s="75">
        <f t="shared" si="24"/>
        <v>0</v>
      </c>
      <c r="EM62" s="75">
        <f t="shared" si="25"/>
        <v>0</v>
      </c>
      <c r="EN62" s="75">
        <f t="shared" si="26"/>
        <v>0</v>
      </c>
      <c r="EO62" s="76">
        <f t="shared" si="27"/>
        <v>0</v>
      </c>
      <c r="EP62" s="71">
        <f t="shared" si="28"/>
        <v>0</v>
      </c>
      <c r="EQ62" s="71">
        <f t="shared" si="29"/>
        <v>0</v>
      </c>
      <c r="ER62" s="71">
        <f t="shared" si="30"/>
        <v>0</v>
      </c>
      <c r="ES62" s="71">
        <f t="shared" si="31"/>
        <v>0</v>
      </c>
      <c r="ET62" s="71">
        <f t="shared" si="33"/>
        <v>0</v>
      </c>
      <c r="EU62" s="71">
        <f t="shared" si="34"/>
        <v>0</v>
      </c>
      <c r="EV62" s="71">
        <f t="shared" si="35"/>
        <v>0</v>
      </c>
      <c r="EW62" s="15" t="e">
        <f t="shared" si="36"/>
        <v>#DIV/0!</v>
      </c>
      <c r="EX62" s="15" t="e">
        <f t="shared" si="37"/>
        <v>#DIV/0!</v>
      </c>
    </row>
    <row r="63" spans="1:154" ht="18" customHeight="1" thickTop="1" thickBot="1" x14ac:dyDescent="0.25">
      <c r="A63" s="4"/>
      <c r="B63" s="5">
        <f>SUM(B4:B62)</f>
        <v>0</v>
      </c>
      <c r="C63" s="61" t="s">
        <v>44</v>
      </c>
      <c r="D63" s="175"/>
      <c r="E63" s="62">
        <f>(SUM(E4:E62)*0.2)/D2</f>
        <v>0</v>
      </c>
      <c r="F63" s="62">
        <f>(SUM(F4:F62)*0.5)/D2</f>
        <v>0</v>
      </c>
      <c r="G63" s="62">
        <f>(SUM(G4:G62)*1)/D2</f>
        <v>0</v>
      </c>
      <c r="H63" s="62">
        <f>(SUM(H4:H62)*2)/D2</f>
        <v>0</v>
      </c>
      <c r="I63" s="62">
        <f>(SUM(I75:I133))/D2</f>
        <v>0</v>
      </c>
      <c r="J63" s="62">
        <f>(SUM(J75:J133))/D2</f>
        <v>0</v>
      </c>
      <c r="K63" s="63">
        <f>(SUM(K75:K133))/D2</f>
        <v>0</v>
      </c>
      <c r="L63" s="61" t="s">
        <v>44</v>
      </c>
      <c r="M63" s="175"/>
      <c r="N63" s="62">
        <f>(SUM(N4:N62)*0.2)/M2</f>
        <v>0</v>
      </c>
      <c r="O63" s="62">
        <f>(SUM(O4:O62)*0.5)/M2</f>
        <v>0</v>
      </c>
      <c r="P63" s="62">
        <f>(SUM(P4:P62)*1)/M2</f>
        <v>0</v>
      </c>
      <c r="Q63" s="62">
        <f>(SUM(Q4:Q62)*2)/M2</f>
        <v>0</v>
      </c>
      <c r="R63" s="62">
        <f>(SUM(R75:R133))/M2</f>
        <v>0</v>
      </c>
      <c r="S63" s="62">
        <f>(SUM(S75:S133))/M2</f>
        <v>0</v>
      </c>
      <c r="T63" s="63">
        <f>(SUM(T75:T133))/M2</f>
        <v>0</v>
      </c>
      <c r="U63" s="61" t="s">
        <v>44</v>
      </c>
      <c r="V63" s="175"/>
      <c r="W63" s="62">
        <f>(SUM(W4:W62)*0.2)/V2</f>
        <v>0</v>
      </c>
      <c r="X63" s="62">
        <f>(SUM(X4:X62)*0.5)/V2</f>
        <v>0</v>
      </c>
      <c r="Y63" s="62">
        <f>(SUM(Y4:Y62)*1)/V2</f>
        <v>0</v>
      </c>
      <c r="Z63" s="62">
        <f>(SUM(Z4:Z62)*2)/V2</f>
        <v>0</v>
      </c>
      <c r="AA63" s="62">
        <f>(SUM(AA75:AA133))/V2</f>
        <v>0</v>
      </c>
      <c r="AB63" s="62">
        <f>(SUM(AB75:AB133))/V2</f>
        <v>0</v>
      </c>
      <c r="AC63" s="63">
        <f>(SUM(AC75:AC133))/V2</f>
        <v>0</v>
      </c>
      <c r="AD63" s="61" t="s">
        <v>44</v>
      </c>
      <c r="AE63" s="175"/>
      <c r="AF63" s="62">
        <f>(SUM(AF4:AF62)*0.2)/AE2</f>
        <v>0</v>
      </c>
      <c r="AG63" s="62">
        <f>(SUM(AG4:AG62)*0.5)/AE2</f>
        <v>0</v>
      </c>
      <c r="AH63" s="62">
        <f>(SUM(AH4:AH62)*1)/AE2</f>
        <v>0</v>
      </c>
      <c r="AI63" s="62">
        <f>(SUM(AI4:AI62)*2)/AE2</f>
        <v>0</v>
      </c>
      <c r="AJ63" s="62">
        <f>(SUM(AJ75:AJ133))/AE2</f>
        <v>0</v>
      </c>
      <c r="AK63" s="62">
        <f>(SUM(AK75:AK133))/AE2</f>
        <v>0</v>
      </c>
      <c r="AL63" s="63">
        <f>(SUM(AL75:AL133))/AE2</f>
        <v>0</v>
      </c>
      <c r="AM63" s="61" t="s">
        <v>44</v>
      </c>
      <c r="AN63" s="175"/>
      <c r="AO63" s="62">
        <f>(SUM(AO4:AO62)*0.2)/AN2</f>
        <v>0</v>
      </c>
      <c r="AP63" s="62">
        <f>(SUM(AP4:AP62)*0.5)/AN2</f>
        <v>0</v>
      </c>
      <c r="AQ63" s="62">
        <f>(SUM(AQ4:AQ62)*1)/AN2</f>
        <v>0</v>
      </c>
      <c r="AR63" s="62">
        <f>(SUM(AR4:AR62)*2)/AN2</f>
        <v>0</v>
      </c>
      <c r="AS63" s="62">
        <f>(SUM(AS75:AS133))/AN2</f>
        <v>0</v>
      </c>
      <c r="AT63" s="62">
        <f>(SUM(AT75:AT133))/AN2</f>
        <v>0</v>
      </c>
      <c r="AU63" s="63">
        <f>(SUM(AU75:AU133))/AN2</f>
        <v>0</v>
      </c>
      <c r="AV63" s="61" t="s">
        <v>44</v>
      </c>
      <c r="AW63" s="175"/>
      <c r="AX63" s="62">
        <f>(SUM(AX4:AX62)*0.2)/AW2</f>
        <v>0</v>
      </c>
      <c r="AY63" s="62">
        <f>(SUM(AY4:AY62)*0.5)/AW2</f>
        <v>0</v>
      </c>
      <c r="AZ63" s="62">
        <f>(SUM(AZ4:AZ62)*1)/AW2</f>
        <v>0</v>
      </c>
      <c r="BA63" s="62">
        <f>(SUM(BA4:BA62)*2)/AW2</f>
        <v>0</v>
      </c>
      <c r="BB63" s="62">
        <f>(SUM(BB75:BB133))/AW2</f>
        <v>0</v>
      </c>
      <c r="BC63" s="62">
        <f>(SUM(BC75:BC133))/AW2</f>
        <v>0</v>
      </c>
      <c r="BD63" s="63">
        <f>(SUM(BD75:BD133))/AW2</f>
        <v>0</v>
      </c>
      <c r="BE63" s="61" t="s">
        <v>44</v>
      </c>
      <c r="BF63" s="175"/>
      <c r="BG63" s="62">
        <f>(SUM(BG4:BG62)*0.2)/BF2</f>
        <v>0</v>
      </c>
      <c r="BH63" s="62">
        <f>(SUM(BH4:BH62)*0.5)/BF2</f>
        <v>0</v>
      </c>
      <c r="BI63" s="62">
        <f>(SUM(BI4:BI62)*1)/BF2</f>
        <v>0</v>
      </c>
      <c r="BJ63" s="62">
        <f>(SUM(BJ4:BJ62)*2)/BF2</f>
        <v>0</v>
      </c>
      <c r="BK63" s="62">
        <f>(SUM(BK75:BK133))/BF2</f>
        <v>0</v>
      </c>
      <c r="BL63" s="62">
        <f>(SUM(BL75:BL133))/BF2</f>
        <v>0</v>
      </c>
      <c r="BM63" s="63">
        <f>(SUM(BM75:BM133))/BF2</f>
        <v>0</v>
      </c>
      <c r="BN63" s="61" t="s">
        <v>44</v>
      </c>
      <c r="BO63" s="175"/>
      <c r="BP63" s="62">
        <f>(SUM(BP4:BP62)*0.2)/BO2</f>
        <v>0</v>
      </c>
      <c r="BQ63" s="62">
        <f>(SUM(BQ4:BQ62)*0.5)/BO2</f>
        <v>0</v>
      </c>
      <c r="BR63" s="62">
        <f>(SUM(BR4:BR62)*1)/BO2</f>
        <v>0</v>
      </c>
      <c r="BS63" s="62">
        <f>(SUM(BS4:BS62)*2)/BO2</f>
        <v>0</v>
      </c>
      <c r="BT63" s="62">
        <f>(SUM(BT75:BT133))/BO2</f>
        <v>0</v>
      </c>
      <c r="BU63" s="62">
        <f>(SUM(BU75:BU133))/BO2</f>
        <v>0</v>
      </c>
      <c r="BV63" s="63">
        <f>(SUM(BV75:BV133))/BO2</f>
        <v>0</v>
      </c>
      <c r="BW63" s="61" t="s">
        <v>44</v>
      </c>
      <c r="BX63" s="175"/>
      <c r="BY63" s="62">
        <f>(SUM(BY4:BY62)*0.2)/BX2</f>
        <v>0</v>
      </c>
      <c r="BZ63" s="62">
        <f>(SUM(BZ4:BZ62)*0.5)/BX2</f>
        <v>0</v>
      </c>
      <c r="CA63" s="62">
        <f>(SUM(CA4:CA62)*1)/BX2</f>
        <v>0</v>
      </c>
      <c r="CB63" s="62">
        <f>(SUM(CB4:CB62)*2)/BX2</f>
        <v>0</v>
      </c>
      <c r="CC63" s="62">
        <f>(SUM(CC75:CC133))/BX2</f>
        <v>0</v>
      </c>
      <c r="CD63" s="62">
        <f>(SUM(CD75:CD133))/BX2</f>
        <v>0</v>
      </c>
      <c r="CE63" s="63">
        <f>(SUM(CE75:CE133))/BX2</f>
        <v>0</v>
      </c>
      <c r="CF63" s="61" t="s">
        <v>44</v>
      </c>
      <c r="CG63" s="175"/>
      <c r="CH63" s="62">
        <f>(SUM(CH4:CH62)*0.2)/CG2</f>
        <v>0</v>
      </c>
      <c r="CI63" s="62">
        <f>(SUM(CI4:CI62)*0.5)/CG2</f>
        <v>0</v>
      </c>
      <c r="CJ63" s="62">
        <f>(SUM(CJ4:CJ62)*1)/CG2</f>
        <v>0</v>
      </c>
      <c r="CK63" s="62">
        <f>(SUM(CK4:CK62)*2)/CG2</f>
        <v>0</v>
      </c>
      <c r="CL63" s="62">
        <f>(SUM(CL75:CL133))/CG2</f>
        <v>0</v>
      </c>
      <c r="CM63" s="62">
        <f>(SUM(CM75:CM133))/CG2</f>
        <v>0</v>
      </c>
      <c r="CN63" s="63">
        <f>(SUM(CN75:CN133))/CG2</f>
        <v>0</v>
      </c>
      <c r="CO63" s="61" t="s">
        <v>44</v>
      </c>
      <c r="CP63" s="175"/>
      <c r="CQ63" s="62">
        <f>(SUM(CQ4:CQ62)*0.2)/CP2</f>
        <v>0</v>
      </c>
      <c r="CR63" s="62">
        <f>(SUM(CR4:CR62)*0.5)/CP2</f>
        <v>0</v>
      </c>
      <c r="CS63" s="62">
        <f>(SUM(CS4:CS62)*1)/CP2</f>
        <v>0</v>
      </c>
      <c r="CT63" s="62">
        <f>(SUM(CT4:CT62)*2)/CP2</f>
        <v>0</v>
      </c>
      <c r="CU63" s="62">
        <f>(SUM(CU75:CU133))/CP2</f>
        <v>0</v>
      </c>
      <c r="CV63" s="62">
        <f>(SUM(CV75:CV133))/CP2</f>
        <v>0</v>
      </c>
      <c r="CW63" s="63">
        <f>(SUM(CW75:CW133))/CP2</f>
        <v>0</v>
      </c>
      <c r="CX63" s="61" t="s">
        <v>44</v>
      </c>
      <c r="CY63" s="175"/>
      <c r="CZ63" s="62">
        <f>(SUM(CZ4:CZ62)*0.2)/CY2</f>
        <v>0</v>
      </c>
      <c r="DA63" s="62">
        <f>(SUM(DA4:DA62)*0.5)/CY2</f>
        <v>0</v>
      </c>
      <c r="DB63" s="62">
        <f>(SUM(DB4:DB62)*1)/CY2</f>
        <v>0</v>
      </c>
      <c r="DC63" s="62">
        <f>(SUM(DC4:DC62)*2)/CY2</f>
        <v>0</v>
      </c>
      <c r="DD63" s="62">
        <f>(SUM(DD75:DD133))/CY2</f>
        <v>0</v>
      </c>
      <c r="DE63" s="62">
        <f>(SUM(DE75:DE133))/CY2</f>
        <v>0</v>
      </c>
      <c r="DF63" s="63">
        <f>(SUM(DF75:DF133))/CY2</f>
        <v>0</v>
      </c>
      <c r="DG63" s="61" t="s">
        <v>44</v>
      </c>
      <c r="DH63" s="175"/>
      <c r="DI63" s="62">
        <f>(SUM(DI4:DI62)*0.2)/DH2</f>
        <v>0</v>
      </c>
      <c r="DJ63" s="62">
        <f>(SUM(DJ4:DJ62)*0.5)/DH2</f>
        <v>0</v>
      </c>
      <c r="DK63" s="62">
        <f>(SUM(DK4:DK62)*1)/DH2</f>
        <v>0</v>
      </c>
      <c r="DL63" s="62">
        <f>(SUM(DL4:DL62)*2)/DH2</f>
        <v>0</v>
      </c>
      <c r="DM63" s="62">
        <f>(SUM(DM75:DM133))/DH2</f>
        <v>0</v>
      </c>
      <c r="DN63" s="62">
        <f>(SUM(DN75:DN133))/DH2</f>
        <v>0</v>
      </c>
      <c r="DO63" s="63">
        <f>(SUM(DO75:DO133))/DH2</f>
        <v>0</v>
      </c>
      <c r="DP63" s="61" t="s">
        <v>44</v>
      </c>
      <c r="DQ63" s="175"/>
      <c r="DR63" s="62">
        <f>(SUM(DR4:DR62)*0.2)/DQ2</f>
        <v>0</v>
      </c>
      <c r="DS63" s="62">
        <f>(SUM(DS4:DS62)*0.5)/DQ2</f>
        <v>0</v>
      </c>
      <c r="DT63" s="62">
        <f>(SUM(DT4:DT62)*1)/DQ2</f>
        <v>0</v>
      </c>
      <c r="DU63" s="62">
        <f>(SUM(DU4:DU62)*2)/DQ2</f>
        <v>0</v>
      </c>
      <c r="DV63" s="62">
        <f>(SUM(DV75:DV133))/DQ2</f>
        <v>0</v>
      </c>
      <c r="DW63" s="62">
        <f>(SUM(DW75:DW133))/DQ2</f>
        <v>0</v>
      </c>
      <c r="DX63" s="63">
        <f>(SUM(DX75:DX133))/DQ2</f>
        <v>0</v>
      </c>
      <c r="DY63" s="61" t="s">
        <v>44</v>
      </c>
      <c r="DZ63" s="175"/>
      <c r="EA63" s="62">
        <f>(SUM(EA4:EA62)*0.2)/DZ2</f>
        <v>0</v>
      </c>
      <c r="EB63" s="62">
        <f>(SUM(EB4:EB62)*0.5)/DZ2</f>
        <v>0</v>
      </c>
      <c r="EC63" s="62">
        <f>(SUM(EC4:EC62)*1)/DZ2</f>
        <v>0</v>
      </c>
      <c r="ED63" s="62">
        <f>(SUM(ED4:ED62)*2)/DZ2</f>
        <v>0</v>
      </c>
      <c r="EE63" s="62">
        <f>(SUM(EE75:EE133))/DZ2</f>
        <v>0</v>
      </c>
      <c r="EF63" s="62">
        <f>(SUM(EF75:EF133))/DZ2</f>
        <v>0</v>
      </c>
      <c r="EG63" s="63">
        <f>(SUM(EG75:EG133))/DZ2</f>
        <v>0</v>
      </c>
      <c r="EH63" s="14"/>
      <c r="EI63" s="3"/>
      <c r="EJ63" s="3"/>
      <c r="EP63" s="13">
        <f t="shared" ref="EP63:EV63" si="39">SUM(EP4:EP62)</f>
        <v>0</v>
      </c>
      <c r="EQ63" s="13">
        <f t="shared" si="39"/>
        <v>0</v>
      </c>
      <c r="ER63" s="13">
        <f t="shared" si="39"/>
        <v>0</v>
      </c>
      <c r="ES63" s="13">
        <f t="shared" si="39"/>
        <v>0</v>
      </c>
      <c r="ET63" s="13">
        <f t="shared" si="39"/>
        <v>0</v>
      </c>
      <c r="EU63" s="13">
        <f t="shared" si="39"/>
        <v>0</v>
      </c>
      <c r="EV63" s="13">
        <f t="shared" si="39"/>
        <v>0</v>
      </c>
    </row>
    <row r="64" spans="1:154" s="6" customFormat="1" ht="18" customHeight="1" thickBot="1" x14ac:dyDescent="0.3">
      <c r="A64" s="123" t="s">
        <v>46</v>
      </c>
      <c r="B64" s="7"/>
      <c r="C64" s="64" t="s">
        <v>18</v>
      </c>
      <c r="D64" s="65"/>
      <c r="E64" s="280">
        <f>F75</f>
        <v>0</v>
      </c>
      <c r="F64" s="280"/>
      <c r="G64" s="66"/>
      <c r="H64" s="66" t="s">
        <v>7</v>
      </c>
      <c r="I64" s="67"/>
      <c r="J64" s="280">
        <f>E64-SUM(E63:K63)</f>
        <v>0</v>
      </c>
      <c r="K64" s="281"/>
      <c r="L64" s="64" t="s">
        <v>18</v>
      </c>
      <c r="M64" s="65"/>
      <c r="N64" s="280">
        <f>O75</f>
        <v>0</v>
      </c>
      <c r="O64" s="280"/>
      <c r="P64" s="66"/>
      <c r="Q64" s="66" t="s">
        <v>7</v>
      </c>
      <c r="R64" s="67"/>
      <c r="S64" s="280">
        <f>N64-SUM(N63:T63)</f>
        <v>0</v>
      </c>
      <c r="T64" s="281"/>
      <c r="U64" s="64" t="s">
        <v>18</v>
      </c>
      <c r="V64" s="65"/>
      <c r="W64" s="280">
        <f>X75</f>
        <v>0</v>
      </c>
      <c r="X64" s="280"/>
      <c r="Y64" s="66"/>
      <c r="Z64" s="66" t="s">
        <v>7</v>
      </c>
      <c r="AA64" s="67"/>
      <c r="AB64" s="280">
        <f>W64-SUM(W63:AC63)</f>
        <v>0</v>
      </c>
      <c r="AC64" s="281"/>
      <c r="AD64" s="64" t="s">
        <v>18</v>
      </c>
      <c r="AE64" s="65"/>
      <c r="AF64" s="280">
        <f>AG75</f>
        <v>0</v>
      </c>
      <c r="AG64" s="280"/>
      <c r="AH64" s="66"/>
      <c r="AI64" s="66" t="s">
        <v>7</v>
      </c>
      <c r="AJ64" s="67"/>
      <c r="AK64" s="280">
        <f>AF64-SUM(AF63:AL63)</f>
        <v>0</v>
      </c>
      <c r="AL64" s="281"/>
      <c r="AM64" s="64" t="s">
        <v>18</v>
      </c>
      <c r="AN64" s="65"/>
      <c r="AO64" s="280">
        <f>AP75</f>
        <v>0</v>
      </c>
      <c r="AP64" s="280"/>
      <c r="AQ64" s="66"/>
      <c r="AR64" s="66" t="s">
        <v>7</v>
      </c>
      <c r="AS64" s="67"/>
      <c r="AT64" s="280">
        <f>AO64-SUM(AO63:AU63)</f>
        <v>0</v>
      </c>
      <c r="AU64" s="281"/>
      <c r="AV64" s="64" t="s">
        <v>18</v>
      </c>
      <c r="AW64" s="65"/>
      <c r="AX64" s="280">
        <f>AY75</f>
        <v>0</v>
      </c>
      <c r="AY64" s="280"/>
      <c r="AZ64" s="66"/>
      <c r="BA64" s="66" t="s">
        <v>7</v>
      </c>
      <c r="BB64" s="67"/>
      <c r="BC64" s="280">
        <f>AX64-SUM(AX63:BD63)</f>
        <v>0</v>
      </c>
      <c r="BD64" s="281"/>
      <c r="BE64" s="64" t="s">
        <v>18</v>
      </c>
      <c r="BF64" s="65"/>
      <c r="BG64" s="280">
        <f>BH75</f>
        <v>0</v>
      </c>
      <c r="BH64" s="280"/>
      <c r="BI64" s="66"/>
      <c r="BJ64" s="66" t="s">
        <v>7</v>
      </c>
      <c r="BK64" s="67"/>
      <c r="BL64" s="280">
        <f>BG64-SUM(BG63:BM63)</f>
        <v>0</v>
      </c>
      <c r="BM64" s="281"/>
      <c r="BN64" s="64" t="s">
        <v>18</v>
      </c>
      <c r="BO64" s="65"/>
      <c r="BP64" s="280">
        <f>BQ75</f>
        <v>0</v>
      </c>
      <c r="BQ64" s="280"/>
      <c r="BR64" s="66"/>
      <c r="BS64" s="66" t="s">
        <v>7</v>
      </c>
      <c r="BT64" s="67"/>
      <c r="BU64" s="280">
        <f>BP64-SUM(BP63:BV63)</f>
        <v>0</v>
      </c>
      <c r="BV64" s="281"/>
      <c r="BW64" s="64" t="s">
        <v>18</v>
      </c>
      <c r="BX64" s="65"/>
      <c r="BY64" s="280">
        <f>BZ75</f>
        <v>0</v>
      </c>
      <c r="BZ64" s="280"/>
      <c r="CA64" s="66"/>
      <c r="CB64" s="66" t="s">
        <v>7</v>
      </c>
      <c r="CC64" s="67"/>
      <c r="CD64" s="280">
        <f>BY64-SUM(BY63:CE63)</f>
        <v>0</v>
      </c>
      <c r="CE64" s="281"/>
      <c r="CF64" s="64" t="s">
        <v>18</v>
      </c>
      <c r="CG64" s="65"/>
      <c r="CH64" s="280">
        <f>CI75</f>
        <v>0</v>
      </c>
      <c r="CI64" s="280"/>
      <c r="CJ64" s="66"/>
      <c r="CK64" s="66" t="s">
        <v>7</v>
      </c>
      <c r="CL64" s="67"/>
      <c r="CM64" s="280">
        <f>CH64-SUM(CH63:CN63)</f>
        <v>0</v>
      </c>
      <c r="CN64" s="281"/>
      <c r="CO64" s="64" t="s">
        <v>18</v>
      </c>
      <c r="CP64" s="65"/>
      <c r="CQ64" s="280">
        <f>CR75</f>
        <v>0</v>
      </c>
      <c r="CR64" s="280"/>
      <c r="CS64" s="66"/>
      <c r="CT64" s="66" t="s">
        <v>7</v>
      </c>
      <c r="CU64" s="67"/>
      <c r="CV64" s="280">
        <f>CQ64-SUM(CQ63:CW63)</f>
        <v>0</v>
      </c>
      <c r="CW64" s="281"/>
      <c r="CX64" s="64" t="s">
        <v>18</v>
      </c>
      <c r="CY64" s="65"/>
      <c r="CZ64" s="280">
        <f>DA75</f>
        <v>0</v>
      </c>
      <c r="DA64" s="280"/>
      <c r="DB64" s="66"/>
      <c r="DC64" s="66" t="s">
        <v>7</v>
      </c>
      <c r="DD64" s="67"/>
      <c r="DE64" s="280">
        <f>CZ64-SUM(CZ63:DF63)</f>
        <v>0</v>
      </c>
      <c r="DF64" s="281"/>
      <c r="DG64" s="64" t="s">
        <v>18</v>
      </c>
      <c r="DH64" s="65"/>
      <c r="DI64" s="280">
        <f>DJ75</f>
        <v>0</v>
      </c>
      <c r="DJ64" s="280"/>
      <c r="DK64" s="66"/>
      <c r="DL64" s="66" t="s">
        <v>7</v>
      </c>
      <c r="DM64" s="67"/>
      <c r="DN64" s="280">
        <f>DI64-SUM(DI63:DO63)</f>
        <v>0</v>
      </c>
      <c r="DO64" s="281"/>
      <c r="DP64" s="64" t="s">
        <v>18</v>
      </c>
      <c r="DQ64" s="65"/>
      <c r="DR64" s="280">
        <f>DS75</f>
        <v>0</v>
      </c>
      <c r="DS64" s="280"/>
      <c r="DT64" s="66"/>
      <c r="DU64" s="66" t="s">
        <v>7</v>
      </c>
      <c r="DV64" s="67"/>
      <c r="DW64" s="280">
        <f>DR64-SUM(DR63:DX63)</f>
        <v>0</v>
      </c>
      <c r="DX64" s="281"/>
      <c r="DY64" s="64" t="s">
        <v>18</v>
      </c>
      <c r="DZ64" s="65"/>
      <c r="EA64" s="280">
        <f>EB75</f>
        <v>0</v>
      </c>
      <c r="EB64" s="280"/>
      <c r="EC64" s="66"/>
      <c r="ED64" s="66" t="s">
        <v>7</v>
      </c>
      <c r="EE64" s="67"/>
      <c r="EF64" s="280">
        <f>EA64-SUM(EA63:EG63)</f>
        <v>0</v>
      </c>
      <c r="EG64" s="281"/>
      <c r="EH64" s="10"/>
      <c r="EI64" s="8"/>
      <c r="EJ64" s="8"/>
      <c r="EP64" s="8"/>
      <c r="EQ64" s="8"/>
      <c r="EW64" s="16"/>
      <c r="EX64" s="16"/>
    </row>
    <row r="65" spans="1:154" s="6" customFormat="1" ht="18" customHeight="1" x14ac:dyDescent="0.25">
      <c r="B65" s="7"/>
      <c r="C65" s="17"/>
      <c r="D65" s="17"/>
      <c r="E65" s="9"/>
      <c r="F65" s="9"/>
      <c r="G65" s="9"/>
      <c r="H65" s="9"/>
      <c r="J65" s="10"/>
      <c r="K65" s="10"/>
      <c r="L65" s="10"/>
      <c r="M65" s="10"/>
      <c r="N65" s="8"/>
      <c r="O65" s="8"/>
      <c r="S65" s="10"/>
      <c r="T65" s="10"/>
      <c r="U65" s="10"/>
      <c r="V65" s="10"/>
      <c r="W65" s="9"/>
      <c r="X65" s="9"/>
      <c r="Y65" s="9"/>
      <c r="Z65" s="9"/>
      <c r="AB65" s="10"/>
      <c r="AC65" s="10"/>
      <c r="AD65" s="10"/>
      <c r="AE65" s="10"/>
      <c r="AF65" s="9"/>
      <c r="AG65" s="9"/>
      <c r="AH65" s="9"/>
      <c r="AI65" s="9"/>
      <c r="AK65" s="10"/>
      <c r="AL65" s="10"/>
      <c r="AM65" s="10"/>
      <c r="AN65" s="10"/>
      <c r="AO65" s="9"/>
      <c r="AP65" s="9"/>
      <c r="AQ65" s="9"/>
      <c r="AR65" s="9"/>
      <c r="AT65" s="10"/>
      <c r="AU65" s="10"/>
      <c r="AV65" s="10"/>
      <c r="AW65" s="10"/>
      <c r="AX65" s="9"/>
      <c r="AY65" s="9"/>
      <c r="AZ65" s="9"/>
      <c r="BA65" s="9"/>
      <c r="BC65" s="10"/>
      <c r="BD65" s="10"/>
      <c r="BE65" s="10"/>
      <c r="BF65" s="10"/>
      <c r="BG65" s="9"/>
      <c r="BH65" s="9"/>
      <c r="BI65" s="9"/>
      <c r="BJ65" s="9"/>
      <c r="BL65" s="10"/>
      <c r="BM65" s="10"/>
      <c r="BN65" s="10"/>
      <c r="BO65" s="10"/>
      <c r="BP65" s="9"/>
      <c r="BQ65" s="9"/>
      <c r="BR65" s="9"/>
      <c r="BS65" s="9"/>
      <c r="BU65" s="11"/>
      <c r="BV65" s="12"/>
      <c r="BW65" s="12"/>
      <c r="BX65" s="12"/>
      <c r="BY65" s="9"/>
      <c r="BZ65" s="9"/>
      <c r="CA65" s="9"/>
      <c r="CB65" s="9"/>
      <c r="CD65" s="10"/>
      <c r="CE65" s="10"/>
      <c r="CF65" s="10"/>
      <c r="CG65" s="10"/>
      <c r="CH65" s="9"/>
      <c r="CI65" s="9"/>
      <c r="CJ65" s="9"/>
      <c r="CK65" s="9"/>
      <c r="CM65" s="10"/>
      <c r="CN65" s="10"/>
      <c r="CO65" s="10"/>
      <c r="CP65" s="10"/>
      <c r="CQ65" s="9"/>
      <c r="CR65" s="9"/>
      <c r="CS65" s="9"/>
      <c r="CT65" s="9"/>
      <c r="CV65" s="10"/>
      <c r="CW65" s="10"/>
      <c r="CX65" s="10"/>
      <c r="CY65" s="10"/>
      <c r="CZ65" s="9"/>
      <c r="DA65" s="9"/>
      <c r="DB65" s="9"/>
      <c r="DC65" s="9"/>
      <c r="DE65" s="10"/>
      <c r="DF65" s="10"/>
      <c r="DG65" s="10"/>
      <c r="DH65" s="10"/>
      <c r="DI65" s="9"/>
      <c r="DJ65" s="9"/>
      <c r="DK65" s="9"/>
      <c r="DL65" s="9"/>
      <c r="DN65" s="10"/>
      <c r="DO65" s="10"/>
      <c r="DP65" s="10"/>
      <c r="DQ65" s="10"/>
      <c r="DR65" s="9"/>
      <c r="DS65" s="9"/>
      <c r="DT65" s="9"/>
      <c r="DU65" s="9"/>
      <c r="DW65" s="10"/>
      <c r="DX65" s="10"/>
      <c r="DY65" s="10"/>
      <c r="DZ65" s="10"/>
      <c r="EA65" s="9"/>
      <c r="EB65" s="9"/>
      <c r="EC65" s="9"/>
      <c r="ED65" s="9"/>
      <c r="EF65" s="10"/>
      <c r="EG65" s="10"/>
      <c r="EH65" s="10"/>
      <c r="EI65" s="8"/>
      <c r="EJ65" s="8"/>
      <c r="EP65" s="8"/>
      <c r="EQ65" s="8"/>
      <c r="EW65" s="16"/>
      <c r="EX65" s="16"/>
    </row>
    <row r="66" spans="1:154" s="6" customFormat="1" ht="18" customHeight="1" x14ac:dyDescent="0.25">
      <c r="B66" s="7"/>
      <c r="C66" s="17"/>
      <c r="D66" s="17"/>
      <c r="E66" s="9"/>
      <c r="F66" s="9"/>
      <c r="G66" s="9"/>
      <c r="H66" s="9"/>
      <c r="J66" s="10"/>
      <c r="K66" s="10"/>
      <c r="L66" s="10"/>
      <c r="M66" s="10"/>
      <c r="N66" s="8"/>
      <c r="O66" s="8"/>
      <c r="S66" s="10"/>
      <c r="T66" s="10"/>
      <c r="U66" s="10"/>
      <c r="V66" s="10"/>
      <c r="W66" s="9"/>
      <c r="X66" s="9"/>
      <c r="Y66" s="9"/>
      <c r="Z66" s="9"/>
      <c r="AB66" s="10"/>
      <c r="AC66" s="10"/>
      <c r="AD66" s="10"/>
      <c r="AE66" s="10"/>
      <c r="AF66" s="9"/>
      <c r="AG66" s="9"/>
      <c r="AH66" s="9"/>
      <c r="AI66" s="9"/>
      <c r="AK66" s="10"/>
      <c r="AL66" s="10"/>
      <c r="AM66" s="10"/>
      <c r="AN66" s="10"/>
      <c r="AO66" s="9"/>
      <c r="AP66" s="9"/>
      <c r="AQ66" s="9"/>
      <c r="AR66" s="9"/>
      <c r="AT66" s="10"/>
      <c r="AU66" s="10"/>
      <c r="AV66" s="10"/>
      <c r="AW66" s="10"/>
      <c r="AX66" s="9"/>
      <c r="AY66" s="9"/>
      <c r="AZ66" s="9"/>
      <c r="BA66" s="9"/>
      <c r="BC66" s="10"/>
      <c r="BD66" s="10"/>
      <c r="BE66" s="10"/>
      <c r="BF66" s="10"/>
      <c r="BG66" s="9"/>
      <c r="BH66" s="9"/>
      <c r="BI66" s="9"/>
      <c r="BJ66" s="9"/>
      <c r="BL66" s="10"/>
      <c r="BM66" s="10"/>
      <c r="BN66" s="10"/>
      <c r="BO66" s="10"/>
      <c r="BP66" s="9"/>
      <c r="BQ66" s="9"/>
      <c r="BR66" s="9"/>
      <c r="BS66" s="9"/>
      <c r="BU66" s="11"/>
      <c r="BV66" s="12"/>
      <c r="BW66" s="12"/>
      <c r="BX66" s="12"/>
      <c r="BY66" s="9"/>
      <c r="BZ66" s="9"/>
      <c r="CA66" s="9"/>
      <c r="CB66" s="9"/>
      <c r="CD66" s="10"/>
      <c r="CE66" s="10"/>
      <c r="CF66" s="10"/>
      <c r="CG66" s="10"/>
      <c r="CH66" s="9"/>
      <c r="CI66" s="9"/>
      <c r="CJ66" s="9"/>
      <c r="CK66" s="9"/>
      <c r="CM66" s="10"/>
      <c r="CN66" s="10"/>
      <c r="CO66" s="10"/>
      <c r="CP66" s="10"/>
      <c r="CQ66" s="9"/>
      <c r="CR66" s="9"/>
      <c r="CS66" s="9"/>
      <c r="CT66" s="9"/>
      <c r="CV66" s="10"/>
      <c r="CW66" s="10"/>
      <c r="CX66" s="10"/>
      <c r="CY66" s="10"/>
      <c r="CZ66" s="9"/>
      <c r="DA66" s="9"/>
      <c r="DB66" s="9"/>
      <c r="DC66" s="9"/>
      <c r="DE66" s="10"/>
      <c r="DF66" s="10"/>
      <c r="DG66" s="10"/>
      <c r="DH66" s="10"/>
      <c r="DI66" s="9"/>
      <c r="DJ66" s="9"/>
      <c r="DK66" s="9"/>
      <c r="DL66" s="9"/>
      <c r="DN66" s="10"/>
      <c r="DO66" s="10"/>
      <c r="DP66" s="10"/>
      <c r="DQ66" s="10"/>
      <c r="DR66" s="9"/>
      <c r="DS66" s="9"/>
      <c r="DT66" s="9"/>
      <c r="DU66" s="9"/>
      <c r="DW66" s="10"/>
      <c r="DX66" s="10"/>
      <c r="DY66" s="10"/>
      <c r="DZ66" s="10"/>
      <c r="EA66" s="9"/>
      <c r="EB66" s="9"/>
      <c r="EC66" s="9"/>
      <c r="ED66" s="9"/>
      <c r="EF66" s="10"/>
      <c r="EG66" s="10"/>
      <c r="EH66" s="10"/>
      <c r="EI66" s="8"/>
      <c r="EJ66" s="8"/>
      <c r="EP66" s="8"/>
      <c r="EQ66" s="8"/>
      <c r="EW66" s="16"/>
      <c r="EX66" s="16"/>
    </row>
    <row r="67" spans="1:154" s="6" customFormat="1" ht="18" customHeight="1" x14ac:dyDescent="0.25">
      <c r="A67" s="123" t="s">
        <v>40</v>
      </c>
      <c r="B67" s="7"/>
      <c r="C67" s="17"/>
      <c r="D67" s="17"/>
      <c r="E67" s="9"/>
      <c r="F67" s="9"/>
      <c r="G67" s="9"/>
      <c r="H67" s="9"/>
      <c r="J67" s="10"/>
      <c r="K67" s="10"/>
      <c r="L67" s="10"/>
      <c r="M67" s="10"/>
      <c r="N67" s="8"/>
      <c r="O67" s="8"/>
      <c r="S67" s="10"/>
      <c r="T67" s="10"/>
      <c r="U67" s="10"/>
      <c r="V67" s="10"/>
      <c r="W67" s="9"/>
      <c r="X67" s="9"/>
      <c r="Y67" s="9"/>
      <c r="Z67" s="9"/>
      <c r="AB67" s="10"/>
      <c r="AC67" s="10"/>
      <c r="AD67" s="10"/>
      <c r="AE67" s="10"/>
      <c r="AF67" s="9"/>
      <c r="AG67" s="9"/>
      <c r="AH67" s="9"/>
      <c r="AI67" s="9"/>
      <c r="AK67" s="10"/>
      <c r="AL67" s="10"/>
      <c r="AM67" s="10"/>
      <c r="AN67" s="10"/>
      <c r="AO67" s="9"/>
      <c r="AP67" s="9"/>
      <c r="AQ67" s="9"/>
      <c r="AR67" s="9"/>
      <c r="AT67" s="10"/>
      <c r="AU67" s="10"/>
      <c r="AV67" s="10"/>
      <c r="AW67" s="10"/>
      <c r="AX67" s="9"/>
      <c r="AY67" s="9"/>
      <c r="AZ67" s="9"/>
      <c r="BA67" s="9"/>
      <c r="BC67" s="10"/>
      <c r="BD67" s="10"/>
      <c r="BE67" s="10"/>
      <c r="BF67" s="10"/>
      <c r="BG67" s="9"/>
      <c r="BH67" s="9"/>
      <c r="BI67" s="9"/>
      <c r="BJ67" s="9"/>
      <c r="BL67" s="10"/>
      <c r="BM67" s="10"/>
      <c r="BN67" s="10"/>
      <c r="BO67" s="10"/>
      <c r="BP67" s="9"/>
      <c r="BQ67" s="9"/>
      <c r="BR67" s="9"/>
      <c r="BS67" s="9"/>
      <c r="BU67" s="11"/>
      <c r="BV67" s="12"/>
      <c r="BW67" s="12"/>
      <c r="BX67" s="12"/>
      <c r="BY67" s="9"/>
      <c r="BZ67" s="9"/>
      <c r="CA67" s="9"/>
      <c r="CB67" s="9"/>
      <c r="CD67" s="10"/>
      <c r="CE67" s="10"/>
      <c r="CF67" s="10"/>
      <c r="CG67" s="10"/>
      <c r="CH67" s="9"/>
      <c r="CI67" s="9"/>
      <c r="CJ67" s="9"/>
      <c r="CK67" s="9"/>
      <c r="CM67" s="10"/>
      <c r="CN67" s="10"/>
      <c r="CO67" s="10"/>
      <c r="CP67" s="10"/>
      <c r="CQ67" s="9"/>
      <c r="CR67" s="9"/>
      <c r="CS67" s="9"/>
      <c r="CT67" s="9"/>
      <c r="CV67" s="10"/>
      <c r="CW67" s="10"/>
      <c r="CX67" s="10"/>
      <c r="CY67" s="10"/>
      <c r="CZ67" s="9"/>
      <c r="DA67" s="9"/>
      <c r="DB67" s="9"/>
      <c r="DC67" s="9"/>
      <c r="DE67" s="10"/>
      <c r="DF67" s="10"/>
      <c r="DG67" s="10"/>
      <c r="DH67" s="10"/>
      <c r="DI67" s="9"/>
      <c r="DJ67" s="9"/>
      <c r="DK67" s="9"/>
      <c r="DL67" s="9"/>
      <c r="DN67" s="10"/>
      <c r="DO67" s="10"/>
      <c r="DP67" s="10"/>
      <c r="DQ67" s="10"/>
      <c r="DR67" s="9"/>
      <c r="DS67" s="9"/>
      <c r="DT67" s="9"/>
      <c r="DU67" s="9"/>
      <c r="DW67" s="10"/>
      <c r="DX67" s="10"/>
      <c r="DY67" s="10"/>
      <c r="DZ67" s="10"/>
      <c r="EA67" s="9"/>
      <c r="EB67" s="9"/>
      <c r="EC67" s="9"/>
      <c r="ED67" s="9"/>
      <c r="EF67" s="10"/>
      <c r="EG67" s="10"/>
      <c r="EH67" s="10"/>
      <c r="EI67" s="8"/>
      <c r="EJ67" s="8"/>
      <c r="EP67" s="8"/>
      <c r="EQ67" s="8"/>
      <c r="EW67" s="16"/>
      <c r="EX67" s="16"/>
    </row>
    <row r="68" spans="1:154" s="6" customFormat="1" ht="18" customHeight="1" x14ac:dyDescent="0.25">
      <c r="A68" s="30"/>
      <c r="B68" s="31"/>
      <c r="C68" s="17"/>
      <c r="D68" s="17"/>
      <c r="E68" s="9"/>
      <c r="F68" s="9"/>
      <c r="G68" s="9"/>
      <c r="H68" s="9"/>
      <c r="J68" s="10"/>
      <c r="K68" s="10"/>
      <c r="L68" s="10"/>
      <c r="M68" s="10"/>
      <c r="N68" s="8"/>
      <c r="O68" s="8"/>
      <c r="S68" s="10"/>
      <c r="T68" s="10"/>
      <c r="U68" s="10"/>
      <c r="V68" s="10"/>
      <c r="W68" s="9"/>
      <c r="X68" s="9"/>
      <c r="Y68" s="9"/>
      <c r="Z68" s="9"/>
      <c r="AB68" s="10"/>
      <c r="AC68" s="10"/>
      <c r="AD68" s="10"/>
      <c r="AE68" s="10"/>
      <c r="AF68" s="9"/>
      <c r="AG68" s="9"/>
      <c r="AH68" s="9"/>
      <c r="AI68" s="9"/>
      <c r="AK68" s="10"/>
      <c r="AL68" s="10"/>
      <c r="AM68" s="10"/>
      <c r="AN68" s="10"/>
      <c r="AO68" s="9"/>
      <c r="AP68" s="9"/>
      <c r="AQ68" s="9"/>
      <c r="AR68" s="9"/>
      <c r="AT68" s="10"/>
      <c r="AU68" s="10"/>
      <c r="AV68" s="10"/>
      <c r="AW68" s="10"/>
      <c r="AX68" s="9"/>
      <c r="AY68" s="9"/>
      <c r="AZ68" s="9"/>
      <c r="BA68" s="9"/>
      <c r="BC68" s="10"/>
      <c r="BD68" s="10"/>
      <c r="BE68" s="10"/>
      <c r="BF68" s="10"/>
      <c r="BG68" s="9"/>
      <c r="BH68" s="9"/>
      <c r="BI68" s="9"/>
      <c r="BJ68" s="9"/>
      <c r="BL68" s="10"/>
      <c r="BM68" s="10"/>
      <c r="BN68" s="10"/>
      <c r="BO68" s="10"/>
      <c r="BP68" s="9"/>
      <c r="BQ68" s="9"/>
      <c r="BR68" s="9"/>
      <c r="BS68" s="9"/>
      <c r="BU68" s="11"/>
      <c r="BV68" s="12"/>
      <c r="BW68" s="12"/>
      <c r="BX68" s="12"/>
      <c r="BY68" s="9"/>
      <c r="BZ68" s="9"/>
      <c r="CA68" s="9"/>
      <c r="CB68" s="9"/>
      <c r="CD68" s="10"/>
      <c r="CE68" s="10"/>
      <c r="CF68" s="10"/>
      <c r="CG68" s="10"/>
      <c r="CH68" s="9"/>
      <c r="CI68" s="9"/>
      <c r="CJ68" s="9"/>
      <c r="CK68" s="9"/>
      <c r="CM68" s="10"/>
      <c r="CN68" s="10"/>
      <c r="CO68" s="10"/>
      <c r="CP68" s="10"/>
      <c r="CQ68" s="9"/>
      <c r="CR68" s="9"/>
      <c r="CS68" s="9"/>
      <c r="CT68" s="9"/>
      <c r="CV68" s="10"/>
      <c r="CW68" s="10"/>
      <c r="CX68" s="10"/>
      <c r="CY68" s="10"/>
      <c r="CZ68" s="9"/>
      <c r="DA68" s="9"/>
      <c r="DB68" s="9"/>
      <c r="DC68" s="9"/>
      <c r="DE68" s="10"/>
      <c r="DF68" s="10"/>
      <c r="DG68" s="10"/>
      <c r="DH68" s="10"/>
      <c r="DI68" s="9"/>
      <c r="DJ68" s="9"/>
      <c r="DK68" s="9"/>
      <c r="DL68" s="9"/>
      <c r="DN68" s="10"/>
      <c r="DO68" s="10"/>
      <c r="DP68" s="10"/>
      <c r="DQ68" s="10"/>
      <c r="DR68" s="9"/>
      <c r="DS68" s="9"/>
      <c r="DT68" s="9"/>
      <c r="DU68" s="9"/>
      <c r="DW68" s="10"/>
      <c r="DX68" s="10"/>
      <c r="DY68" s="10"/>
      <c r="DZ68" s="10"/>
      <c r="EA68" s="9"/>
      <c r="EB68" s="9"/>
      <c r="EC68" s="9"/>
      <c r="ED68" s="9"/>
      <c r="EF68" s="10"/>
      <c r="EG68" s="10"/>
      <c r="EH68" s="10"/>
      <c r="EI68" s="8"/>
      <c r="EJ68" s="8"/>
      <c r="EP68" s="8"/>
      <c r="EQ68" s="8"/>
      <c r="EW68" s="16"/>
      <c r="EX68" s="16"/>
    </row>
    <row r="69" spans="1:154" s="6" customFormat="1" ht="18" customHeight="1" x14ac:dyDescent="0.25">
      <c r="A69" s="123"/>
      <c r="B69" s="7"/>
      <c r="C69" s="17"/>
      <c r="D69" s="17"/>
      <c r="E69" s="9"/>
      <c r="F69" s="9"/>
      <c r="G69" s="9"/>
      <c r="H69" s="9"/>
      <c r="J69" s="10"/>
      <c r="K69" s="10"/>
      <c r="L69" s="10"/>
      <c r="M69" s="10"/>
      <c r="N69" s="8"/>
      <c r="O69" s="8"/>
      <c r="S69" s="10"/>
      <c r="T69" s="10"/>
      <c r="U69" s="10"/>
      <c r="V69" s="10"/>
      <c r="W69" s="9"/>
      <c r="X69" s="9"/>
      <c r="Y69" s="9"/>
      <c r="Z69" s="9"/>
      <c r="AB69" s="10"/>
      <c r="AC69" s="10"/>
      <c r="AD69" s="10"/>
      <c r="AE69" s="10"/>
      <c r="AF69" s="9"/>
      <c r="AG69" s="9"/>
      <c r="AH69" s="9"/>
      <c r="AI69" s="9"/>
      <c r="AK69" s="10"/>
      <c r="AL69" s="10"/>
      <c r="AM69" s="10"/>
      <c r="AN69" s="10"/>
      <c r="AO69" s="9"/>
      <c r="AP69" s="9"/>
      <c r="AQ69" s="9"/>
      <c r="AR69" s="9"/>
      <c r="AT69" s="10"/>
      <c r="AU69" s="10"/>
      <c r="AV69" s="10"/>
      <c r="AW69" s="10"/>
      <c r="AX69" s="9"/>
      <c r="AY69" s="9"/>
      <c r="AZ69" s="9"/>
      <c r="BA69" s="9"/>
      <c r="BC69" s="10"/>
      <c r="BD69" s="10"/>
      <c r="BE69" s="10"/>
      <c r="BF69" s="10"/>
      <c r="BG69" s="9"/>
      <c r="BH69" s="9"/>
      <c r="BI69" s="9"/>
      <c r="BJ69" s="9"/>
      <c r="BL69" s="10"/>
      <c r="BM69" s="10"/>
      <c r="BN69" s="10"/>
      <c r="BO69" s="10"/>
      <c r="BP69" s="9"/>
      <c r="BQ69" s="9"/>
      <c r="BR69" s="9"/>
      <c r="BS69" s="9"/>
      <c r="BU69" s="11"/>
      <c r="BV69" s="12"/>
      <c r="BW69" s="12"/>
      <c r="BX69" s="12"/>
      <c r="BY69" s="9"/>
      <c r="BZ69" s="9"/>
      <c r="CA69" s="9"/>
      <c r="CB69" s="9"/>
      <c r="CD69" s="10"/>
      <c r="CE69" s="10"/>
      <c r="CF69" s="10"/>
      <c r="CG69" s="10"/>
      <c r="CH69" s="9"/>
      <c r="CI69" s="9"/>
      <c r="CJ69" s="9"/>
      <c r="CK69" s="9"/>
      <c r="CM69" s="10"/>
      <c r="CN69" s="10"/>
      <c r="CO69" s="10"/>
      <c r="CP69" s="10"/>
      <c r="CQ69" s="9"/>
      <c r="CR69" s="9"/>
      <c r="CS69" s="9"/>
      <c r="CT69" s="9"/>
      <c r="CV69" s="10"/>
      <c r="CW69" s="10"/>
      <c r="CX69" s="10"/>
      <c r="CY69" s="10"/>
      <c r="CZ69" s="9"/>
      <c r="DA69" s="9"/>
      <c r="DB69" s="9"/>
      <c r="DC69" s="9"/>
      <c r="DE69" s="10"/>
      <c r="DF69" s="10"/>
      <c r="DG69" s="10"/>
      <c r="DH69" s="10"/>
      <c r="DI69" s="9"/>
      <c r="DJ69" s="9"/>
      <c r="DK69" s="9"/>
      <c r="DL69" s="9"/>
      <c r="DN69" s="10"/>
      <c r="DO69" s="10"/>
      <c r="DP69" s="10"/>
      <c r="DQ69" s="10"/>
      <c r="DR69" s="9"/>
      <c r="DS69" s="9"/>
      <c r="DT69" s="9"/>
      <c r="DU69" s="9"/>
      <c r="DW69" s="10"/>
      <c r="DX69" s="10"/>
      <c r="DY69" s="10"/>
      <c r="DZ69" s="10"/>
      <c r="EA69" s="9"/>
      <c r="EB69" s="9"/>
      <c r="EC69" s="9"/>
      <c r="ED69" s="9"/>
      <c r="EF69" s="10"/>
      <c r="EG69" s="10"/>
      <c r="EH69" s="10"/>
      <c r="EI69" s="8"/>
      <c r="EJ69" s="8"/>
      <c r="EP69" s="8"/>
      <c r="EQ69" s="8"/>
      <c r="EW69" s="16"/>
      <c r="EX69" s="16"/>
    </row>
    <row r="70" spans="1:154" s="6" customFormat="1" ht="29.25" customHeight="1" x14ac:dyDescent="0.25">
      <c r="A70" s="123"/>
      <c r="B70" s="7"/>
      <c r="C70" s="17"/>
      <c r="D70" s="17"/>
      <c r="E70" s="9"/>
      <c r="F70" s="9"/>
      <c r="G70" s="9"/>
      <c r="H70" s="9"/>
      <c r="J70" s="10"/>
      <c r="K70" s="10"/>
      <c r="L70" s="10"/>
      <c r="M70" s="10"/>
      <c r="N70" s="8"/>
      <c r="O70" s="8"/>
      <c r="S70" s="10"/>
      <c r="T70" s="10"/>
      <c r="U70" s="10"/>
      <c r="V70" s="10"/>
      <c r="W70" s="9"/>
      <c r="X70" s="9"/>
      <c r="Y70" s="9"/>
      <c r="Z70" s="9"/>
      <c r="AB70" s="10"/>
      <c r="AC70" s="10"/>
      <c r="AD70" s="10"/>
      <c r="AE70" s="10"/>
      <c r="AF70" s="9"/>
      <c r="AG70" s="9"/>
      <c r="AH70" s="9"/>
      <c r="AI70" s="9"/>
      <c r="AK70" s="10"/>
      <c r="AL70" s="10"/>
      <c r="AM70" s="10"/>
      <c r="AN70" s="10"/>
      <c r="AO70" s="9"/>
      <c r="AP70" s="9"/>
      <c r="AQ70" s="9"/>
      <c r="AR70" s="9"/>
      <c r="AT70" s="10"/>
      <c r="AU70" s="10"/>
      <c r="AV70" s="10"/>
      <c r="AW70" s="10"/>
      <c r="AX70" s="9"/>
      <c r="AY70" s="9"/>
      <c r="AZ70" s="9"/>
      <c r="BA70" s="9"/>
      <c r="BC70" s="10"/>
      <c r="BD70" s="10"/>
      <c r="BE70" s="10"/>
      <c r="BF70" s="10"/>
      <c r="BG70" s="9"/>
      <c r="BH70" s="9"/>
      <c r="BI70" s="9"/>
      <c r="BJ70" s="9"/>
      <c r="BL70" s="10"/>
      <c r="BM70" s="10"/>
      <c r="BN70" s="10"/>
      <c r="BO70" s="10"/>
      <c r="BP70" s="9"/>
      <c r="BQ70" s="9"/>
      <c r="BR70" s="9"/>
      <c r="BS70" s="9"/>
      <c r="BU70" s="11"/>
      <c r="BV70" s="12"/>
      <c r="BW70" s="12"/>
      <c r="BX70" s="12"/>
      <c r="BY70" s="9"/>
      <c r="BZ70" s="9"/>
      <c r="CA70" s="9"/>
      <c r="CB70" s="9"/>
      <c r="CD70" s="10"/>
      <c r="CE70" s="10"/>
      <c r="CF70" s="10"/>
      <c r="CG70" s="10"/>
      <c r="CH70" s="9"/>
      <c r="CI70" s="9"/>
      <c r="CJ70" s="9"/>
      <c r="CK70" s="9"/>
      <c r="CM70" s="10"/>
      <c r="CN70" s="10"/>
      <c r="CO70" s="10"/>
      <c r="CP70" s="10"/>
      <c r="CQ70" s="9"/>
      <c r="CR70" s="9"/>
      <c r="CS70" s="9"/>
      <c r="CT70" s="9"/>
      <c r="CV70" s="10"/>
      <c r="CW70" s="10"/>
      <c r="CX70" s="10"/>
      <c r="CY70" s="10"/>
      <c r="CZ70" s="9"/>
      <c r="DA70" s="9"/>
      <c r="DB70" s="9"/>
      <c r="DC70" s="9"/>
      <c r="DE70" s="10"/>
      <c r="DF70" s="10"/>
      <c r="DG70" s="10"/>
      <c r="DH70" s="10"/>
      <c r="DI70" s="9"/>
      <c r="DJ70" s="9"/>
      <c r="DK70" s="9"/>
      <c r="DL70" s="9"/>
      <c r="DN70" s="10"/>
      <c r="DO70" s="10"/>
      <c r="DP70" s="10"/>
      <c r="DQ70" s="10"/>
      <c r="DR70" s="9"/>
      <c r="DS70" s="9"/>
      <c r="DT70" s="9"/>
      <c r="DU70" s="9"/>
      <c r="DW70" s="10"/>
      <c r="DX70" s="10"/>
      <c r="DY70" s="10"/>
      <c r="DZ70" s="10"/>
      <c r="EA70" s="9"/>
      <c r="EB70" s="9"/>
      <c r="EC70" s="9"/>
      <c r="ED70" s="9"/>
      <c r="EF70" s="10"/>
      <c r="EG70" s="10"/>
      <c r="EH70" s="10"/>
      <c r="EI70" s="8"/>
      <c r="EJ70" s="8"/>
      <c r="EP70" s="8"/>
      <c r="EQ70" s="8"/>
      <c r="EW70" s="16"/>
      <c r="EX70" s="16"/>
    </row>
    <row r="71" spans="1:154" s="6" customFormat="1" ht="36" customHeight="1" x14ac:dyDescent="0.25">
      <c r="A71" s="123"/>
      <c r="B71" s="7"/>
      <c r="C71" s="17"/>
      <c r="D71" s="17"/>
      <c r="E71" s="9"/>
      <c r="F71" s="9"/>
      <c r="G71" s="9"/>
      <c r="H71" s="9"/>
      <c r="J71" s="10"/>
      <c r="K71" s="10"/>
      <c r="L71" s="10"/>
      <c r="M71" s="10"/>
      <c r="N71" s="8"/>
      <c r="O71" s="8"/>
      <c r="S71" s="10"/>
      <c r="T71" s="10"/>
      <c r="U71" s="10"/>
      <c r="V71" s="10"/>
      <c r="W71" s="9"/>
      <c r="X71" s="9"/>
      <c r="Y71" s="9"/>
      <c r="Z71" s="9"/>
      <c r="AB71" s="10"/>
      <c r="AC71" s="10"/>
      <c r="AD71" s="10"/>
      <c r="AE71" s="10"/>
      <c r="AF71" s="9"/>
      <c r="AG71" s="9"/>
      <c r="AH71" s="9"/>
      <c r="AI71" s="9"/>
      <c r="AK71" s="10"/>
      <c r="AL71" s="10"/>
      <c r="AM71" s="10"/>
      <c r="AN71" s="10"/>
      <c r="AO71" s="9"/>
      <c r="AP71" s="9"/>
      <c r="AQ71" s="9"/>
      <c r="AR71" s="9"/>
      <c r="AT71" s="10"/>
      <c r="AU71" s="10"/>
      <c r="AV71" s="10"/>
      <c r="AW71" s="10"/>
      <c r="AX71" s="9"/>
      <c r="AY71" s="9"/>
      <c r="AZ71" s="9"/>
      <c r="BA71" s="9"/>
      <c r="BC71" s="10"/>
      <c r="BD71" s="10"/>
      <c r="BE71" s="10"/>
      <c r="BF71" s="10"/>
      <c r="BG71" s="9"/>
      <c r="BH71" s="9"/>
      <c r="BI71" s="9"/>
      <c r="BJ71" s="9"/>
      <c r="BL71" s="10"/>
      <c r="BM71" s="10"/>
      <c r="BN71" s="10"/>
      <c r="BO71" s="10"/>
      <c r="BP71" s="9"/>
      <c r="BQ71" s="9"/>
      <c r="BR71" s="9"/>
      <c r="BS71" s="9"/>
      <c r="BU71" s="11"/>
      <c r="BV71" s="12"/>
      <c r="BW71" s="12"/>
      <c r="BX71" s="12"/>
      <c r="BY71" s="9"/>
      <c r="BZ71" s="9"/>
      <c r="CA71" s="9"/>
      <c r="CB71" s="9"/>
      <c r="CD71" s="10"/>
      <c r="CE71" s="10"/>
      <c r="CF71" s="10"/>
      <c r="CG71" s="10"/>
      <c r="CH71" s="9"/>
      <c r="CI71" s="9"/>
      <c r="CJ71" s="9"/>
      <c r="CK71" s="9"/>
      <c r="CM71" s="10"/>
      <c r="CN71" s="10"/>
      <c r="CO71" s="10"/>
      <c r="CP71" s="10"/>
      <c r="CQ71" s="9"/>
      <c r="CR71" s="9"/>
      <c r="CS71" s="9"/>
      <c r="CT71" s="9"/>
      <c r="CV71" s="10"/>
      <c r="CW71" s="10"/>
      <c r="CX71" s="10"/>
      <c r="CY71" s="10"/>
      <c r="CZ71" s="9"/>
      <c r="DA71" s="9"/>
      <c r="DB71" s="9"/>
      <c r="DC71" s="9"/>
      <c r="DE71" s="10"/>
      <c r="DF71" s="10"/>
      <c r="DG71" s="10"/>
      <c r="DH71" s="10"/>
      <c r="DI71" s="9"/>
      <c r="DJ71" s="9"/>
      <c r="DK71" s="9"/>
      <c r="DL71" s="9"/>
      <c r="DN71" s="10"/>
      <c r="DO71" s="10"/>
      <c r="DP71" s="10"/>
      <c r="DQ71" s="10"/>
      <c r="DR71" s="9"/>
      <c r="DS71" s="9"/>
      <c r="DT71" s="9"/>
      <c r="DU71" s="9"/>
      <c r="DW71" s="10"/>
      <c r="DX71" s="10"/>
      <c r="DY71" s="10"/>
      <c r="DZ71" s="10"/>
      <c r="EA71" s="9"/>
      <c r="EB71" s="9"/>
      <c r="EC71" s="9"/>
      <c r="ED71" s="9"/>
      <c r="EF71" s="10"/>
      <c r="EG71" s="10"/>
      <c r="EH71" s="10"/>
      <c r="EI71" s="8"/>
      <c r="EJ71" s="8"/>
      <c r="EP71" s="8"/>
      <c r="EQ71" s="8"/>
      <c r="EW71" s="16"/>
      <c r="EX71" s="16"/>
    </row>
    <row r="72" spans="1:154" s="6" customFormat="1" ht="35.25" hidden="1" customHeight="1" thickBot="1" x14ac:dyDescent="0.3">
      <c r="A72" s="77"/>
      <c r="B72" s="78"/>
      <c r="C72" s="79"/>
      <c r="D72" s="79"/>
      <c r="E72" s="80"/>
      <c r="F72" s="80"/>
      <c r="G72" s="80"/>
      <c r="H72" s="80"/>
      <c r="I72" s="77"/>
      <c r="J72" s="81"/>
      <c r="K72" s="81"/>
      <c r="L72" s="81"/>
      <c r="M72" s="81"/>
      <c r="N72" s="82"/>
      <c r="O72" s="82"/>
      <c r="P72" s="77"/>
      <c r="Q72" s="77"/>
      <c r="R72" s="77"/>
      <c r="S72" s="81"/>
      <c r="T72" s="81"/>
      <c r="U72" s="81"/>
      <c r="V72" s="81"/>
      <c r="W72" s="80"/>
      <c r="X72" s="80"/>
      <c r="Y72" s="80"/>
      <c r="Z72" s="80"/>
      <c r="AA72" s="77"/>
      <c r="AB72" s="81"/>
      <c r="AC72" s="81"/>
      <c r="AD72" s="81"/>
      <c r="AE72" s="81"/>
      <c r="AF72" s="80"/>
      <c r="AG72" s="80"/>
      <c r="AH72" s="80"/>
      <c r="AI72" s="80"/>
      <c r="AJ72" s="77"/>
      <c r="AK72" s="81"/>
      <c r="AL72" s="81"/>
      <c r="AM72" s="81"/>
      <c r="AN72" s="81"/>
      <c r="AO72" s="80"/>
      <c r="AP72" s="80"/>
      <c r="AQ72" s="80"/>
      <c r="AR72" s="80"/>
      <c r="AS72" s="77"/>
      <c r="AT72" s="81"/>
      <c r="AU72" s="81"/>
      <c r="AV72" s="81"/>
      <c r="AW72" s="81"/>
      <c r="AX72" s="80"/>
      <c r="AY72" s="80"/>
      <c r="AZ72" s="80"/>
      <c r="BA72" s="80"/>
      <c r="BB72" s="77"/>
      <c r="BC72" s="81"/>
      <c r="BD72" s="81"/>
      <c r="BE72" s="81"/>
      <c r="BF72" s="81"/>
      <c r="BG72" s="80"/>
      <c r="BH72" s="80"/>
      <c r="BI72" s="80"/>
      <c r="BJ72" s="80"/>
      <c r="BK72" s="77"/>
      <c r="BL72" s="81"/>
      <c r="BM72" s="81"/>
      <c r="BN72" s="81"/>
      <c r="BO72" s="81"/>
      <c r="BP72" s="80"/>
      <c r="BQ72" s="80"/>
      <c r="BR72" s="80"/>
      <c r="BS72" s="80"/>
      <c r="BT72" s="77"/>
      <c r="BU72" s="83"/>
      <c r="BV72" s="84"/>
      <c r="BW72" s="84"/>
      <c r="BX72" s="84"/>
      <c r="BY72" s="80"/>
      <c r="BZ72" s="80"/>
      <c r="CA72" s="80"/>
      <c r="CB72" s="80"/>
      <c r="CC72" s="77"/>
      <c r="CD72" s="81"/>
      <c r="CE72" s="81"/>
      <c r="CF72" s="81"/>
      <c r="CG72" s="81"/>
      <c r="CH72" s="80"/>
      <c r="CI72" s="80"/>
      <c r="CJ72" s="80"/>
      <c r="CK72" s="80"/>
      <c r="CL72" s="77"/>
      <c r="CM72" s="81"/>
      <c r="CN72" s="81"/>
      <c r="CO72" s="81"/>
      <c r="CP72" s="81"/>
      <c r="CQ72" s="80"/>
      <c r="CR72" s="80"/>
      <c r="CS72" s="80"/>
      <c r="CT72" s="80"/>
      <c r="CU72" s="77"/>
      <c r="CV72" s="81"/>
      <c r="CW72" s="81"/>
      <c r="CX72" s="81"/>
      <c r="CY72" s="81"/>
      <c r="CZ72" s="80"/>
      <c r="DA72" s="80"/>
      <c r="DB72" s="80"/>
      <c r="DC72" s="80"/>
      <c r="DD72" s="77"/>
      <c r="DE72" s="81"/>
      <c r="DF72" s="81"/>
      <c r="DG72" s="81"/>
      <c r="DH72" s="81"/>
      <c r="DI72" s="80"/>
      <c r="DJ72" s="80"/>
      <c r="DK72" s="80"/>
      <c r="DL72" s="80"/>
      <c r="DM72" s="77"/>
      <c r="DN72" s="81"/>
      <c r="DO72" s="81"/>
      <c r="DP72" s="81"/>
      <c r="DQ72" s="81"/>
      <c r="DR72" s="80"/>
      <c r="DS72" s="80"/>
      <c r="DT72" s="80"/>
      <c r="DU72" s="80"/>
      <c r="DV72" s="77"/>
      <c r="DW72" s="81"/>
      <c r="DX72" s="81"/>
      <c r="DY72" s="81"/>
      <c r="DZ72" s="81"/>
      <c r="EA72" s="80"/>
      <c r="EB72" s="80"/>
      <c r="EC72" s="80"/>
      <c r="ED72" s="80"/>
      <c r="EE72" s="77"/>
      <c r="EF72" s="81"/>
      <c r="EG72" s="81"/>
      <c r="EH72" s="81"/>
      <c r="EI72" s="82"/>
      <c r="EJ72" s="82"/>
      <c r="EK72" s="77"/>
      <c r="EL72" s="77"/>
      <c r="EM72" s="77"/>
      <c r="EN72" s="77"/>
      <c r="EO72" s="77">
        <f>$EN$73</f>
        <v>0</v>
      </c>
      <c r="EP72" s="77" t="s">
        <v>29</v>
      </c>
      <c r="EQ72" s="85" t="s">
        <v>28</v>
      </c>
      <c r="ER72" s="86">
        <f>EP63</f>
        <v>0</v>
      </c>
      <c r="ES72" s="87" t="e">
        <f>ER72/$EN$73</f>
        <v>#DIV/0!</v>
      </c>
      <c r="ET72" s="77"/>
      <c r="EU72" s="77"/>
      <c r="EV72" s="77"/>
      <c r="EW72" s="16"/>
      <c r="EX72" s="16"/>
    </row>
    <row r="73" spans="1:154" ht="39" hidden="1" customHeight="1" thickBot="1" x14ac:dyDescent="0.3">
      <c r="A73" s="88"/>
      <c r="B73" s="89"/>
      <c r="C73" s="90"/>
      <c r="D73" s="90"/>
      <c r="E73" s="91"/>
      <c r="F73" s="91"/>
      <c r="G73" s="92"/>
      <c r="H73" s="92"/>
      <c r="I73" s="92"/>
      <c r="J73" s="92"/>
      <c r="K73" s="92">
        <f>IF(J64&lt;E64,1,0)</f>
        <v>0</v>
      </c>
      <c r="L73" s="92"/>
      <c r="M73" s="92"/>
      <c r="N73" s="91"/>
      <c r="O73" s="91"/>
      <c r="P73" s="92"/>
      <c r="Q73" s="92"/>
      <c r="R73" s="92"/>
      <c r="S73" s="92"/>
      <c r="T73" s="92">
        <f>IF(S64&lt;N64,1,0)</f>
        <v>0</v>
      </c>
      <c r="U73" s="92"/>
      <c r="V73" s="92"/>
      <c r="W73" s="91"/>
      <c r="X73" s="91"/>
      <c r="Y73" s="92"/>
      <c r="Z73" s="92"/>
      <c r="AA73" s="92"/>
      <c r="AB73" s="92"/>
      <c r="AC73" s="92">
        <f>IF(AB64&lt;W64,1,0)</f>
        <v>0</v>
      </c>
      <c r="AD73" s="92"/>
      <c r="AE73" s="92"/>
      <c r="AF73" s="91"/>
      <c r="AG73" s="91"/>
      <c r="AH73" s="92"/>
      <c r="AI73" s="92"/>
      <c r="AJ73" s="92"/>
      <c r="AK73" s="92"/>
      <c r="AL73" s="92">
        <f>IF(AK64&lt;AF64,1,0)</f>
        <v>0</v>
      </c>
      <c r="AM73" s="92"/>
      <c r="AN73" s="92"/>
      <c r="AO73" s="91"/>
      <c r="AP73" s="91"/>
      <c r="AQ73" s="92"/>
      <c r="AR73" s="92"/>
      <c r="AS73" s="92"/>
      <c r="AT73" s="92"/>
      <c r="AU73" s="92">
        <f>IF(AT64&lt;AO64,1,0)</f>
        <v>0</v>
      </c>
      <c r="AV73" s="92"/>
      <c r="AW73" s="92"/>
      <c r="AX73" s="91"/>
      <c r="AY73" s="91"/>
      <c r="AZ73" s="92"/>
      <c r="BA73" s="92"/>
      <c r="BB73" s="92"/>
      <c r="BC73" s="92"/>
      <c r="BD73" s="92">
        <f>IF(BC64&lt;AX64,1,0)</f>
        <v>0</v>
      </c>
      <c r="BE73" s="92"/>
      <c r="BF73" s="92"/>
      <c r="BG73" s="91"/>
      <c r="BH73" s="91"/>
      <c r="BI73" s="92"/>
      <c r="BJ73" s="92"/>
      <c r="BK73" s="92"/>
      <c r="BL73" s="92"/>
      <c r="BM73" s="92">
        <f>IF(BL64&lt;BG64,1,0)</f>
        <v>0</v>
      </c>
      <c r="BN73" s="92"/>
      <c r="BO73" s="92"/>
      <c r="BP73" s="91"/>
      <c r="BQ73" s="91"/>
      <c r="BR73" s="92"/>
      <c r="BS73" s="92"/>
      <c r="BT73" s="92"/>
      <c r="BU73" s="92"/>
      <c r="BV73" s="92">
        <f>IF(BU64&lt;BP64,1,0)</f>
        <v>0</v>
      </c>
      <c r="BW73" s="92"/>
      <c r="BX73" s="92"/>
      <c r="BY73" s="91"/>
      <c r="BZ73" s="91"/>
      <c r="CA73" s="92"/>
      <c r="CB73" s="92"/>
      <c r="CC73" s="92"/>
      <c r="CD73" s="92"/>
      <c r="CE73" s="92">
        <f>IF(CD64&lt;BY64,1,0)</f>
        <v>0</v>
      </c>
      <c r="CF73" s="92"/>
      <c r="CG73" s="92"/>
      <c r="CH73" s="91"/>
      <c r="CI73" s="91"/>
      <c r="CJ73" s="92"/>
      <c r="CK73" s="92"/>
      <c r="CL73" s="92"/>
      <c r="CM73" s="92"/>
      <c r="CN73" s="92">
        <f>IF(CM64&lt;CH64,1,0)</f>
        <v>0</v>
      </c>
      <c r="CO73" s="92"/>
      <c r="CP73" s="92"/>
      <c r="CQ73" s="91"/>
      <c r="CR73" s="91"/>
      <c r="CS73" s="92"/>
      <c r="CT73" s="92"/>
      <c r="CU73" s="92"/>
      <c r="CV73" s="92"/>
      <c r="CW73" s="92">
        <f>IF(CV64&lt;CQ64,1,0)</f>
        <v>0</v>
      </c>
      <c r="CX73" s="92"/>
      <c r="CY73" s="92"/>
      <c r="CZ73" s="91"/>
      <c r="DA73" s="91"/>
      <c r="DB73" s="92"/>
      <c r="DC73" s="92"/>
      <c r="DD73" s="92"/>
      <c r="DE73" s="92"/>
      <c r="DF73" s="92">
        <f>IF(DE64&lt;CZ64,1,0)</f>
        <v>0</v>
      </c>
      <c r="DG73" s="92"/>
      <c r="DH73" s="92"/>
      <c r="DI73" s="91"/>
      <c r="DJ73" s="91"/>
      <c r="DK73" s="92"/>
      <c r="DL73" s="92"/>
      <c r="DM73" s="92"/>
      <c r="DN73" s="92"/>
      <c r="DO73" s="92">
        <f>IF(DN64&lt;DI64,1,0)</f>
        <v>0</v>
      </c>
      <c r="DP73" s="92"/>
      <c r="DQ73" s="92"/>
      <c r="DR73" s="91"/>
      <c r="DS73" s="91"/>
      <c r="DT73" s="92"/>
      <c r="DU73" s="92"/>
      <c r="DV73" s="92"/>
      <c r="DW73" s="92"/>
      <c r="DX73" s="92">
        <f>IF(DW64&lt;DR64,1,0)</f>
        <v>0</v>
      </c>
      <c r="DY73" s="92"/>
      <c r="DZ73" s="92"/>
      <c r="EA73" s="91"/>
      <c r="EB73" s="91"/>
      <c r="EC73" s="92"/>
      <c r="ED73" s="92"/>
      <c r="EE73" s="92"/>
      <c r="EF73" s="92"/>
      <c r="EG73" s="92">
        <f>IF(EF64&lt;EA64,1,0)</f>
        <v>0</v>
      </c>
      <c r="EH73" s="92"/>
      <c r="EI73" s="91"/>
      <c r="EJ73" s="77" t="s">
        <v>8</v>
      </c>
      <c r="EK73" s="92"/>
      <c r="EL73" s="92"/>
      <c r="EM73" s="92"/>
      <c r="EN73" s="93">
        <f>SUM(K73:EG73)</f>
        <v>0</v>
      </c>
      <c r="EO73" s="77">
        <f t="shared" ref="EO73:EO78" si="40">$EN$73</f>
        <v>0</v>
      </c>
      <c r="EP73" s="77" t="s">
        <v>29</v>
      </c>
      <c r="EQ73" s="85" t="s">
        <v>2</v>
      </c>
      <c r="ER73" s="94">
        <f>EQ63</f>
        <v>0</v>
      </c>
      <c r="ES73" s="87" t="e">
        <f t="shared" ref="ES73:ES78" si="41">ER73/$EN$73</f>
        <v>#DIV/0!</v>
      </c>
      <c r="ET73" s="92"/>
      <c r="EU73" s="92"/>
      <c r="EV73" s="92"/>
    </row>
    <row r="74" spans="1:154" ht="35.25" hidden="1" customHeight="1" x14ac:dyDescent="0.25">
      <c r="A74" s="95"/>
      <c r="B74" s="96" t="s">
        <v>25</v>
      </c>
      <c r="C74" s="97" t="s">
        <v>26</v>
      </c>
      <c r="D74" s="97"/>
      <c r="E74" s="98" t="s">
        <v>27</v>
      </c>
      <c r="F74" s="99"/>
      <c r="G74" s="100"/>
      <c r="H74" s="99"/>
      <c r="I74" s="100"/>
      <c r="J74" s="99"/>
      <c r="K74" s="100"/>
      <c r="L74" s="100"/>
      <c r="M74" s="100"/>
      <c r="N74" s="100"/>
      <c r="O74" s="99"/>
      <c r="P74" s="100"/>
      <c r="Q74" s="99"/>
      <c r="R74" s="100"/>
      <c r="S74" s="99"/>
      <c r="T74" s="100"/>
      <c r="U74" s="100"/>
      <c r="V74" s="100"/>
      <c r="W74" s="100"/>
      <c r="X74" s="99"/>
      <c r="Y74" s="100"/>
      <c r="Z74" s="99"/>
      <c r="AA74" s="100"/>
      <c r="AB74" s="99"/>
      <c r="AC74" s="100"/>
      <c r="AD74" s="100"/>
      <c r="AE74" s="100"/>
      <c r="AF74" s="100"/>
      <c r="AG74" s="99"/>
      <c r="AH74" s="100"/>
      <c r="AI74" s="99"/>
      <c r="AJ74" s="100"/>
      <c r="AK74" s="99"/>
      <c r="AL74" s="100"/>
      <c r="AM74" s="100"/>
      <c r="AN74" s="100"/>
      <c r="AO74" s="100"/>
      <c r="AP74" s="99"/>
      <c r="AQ74" s="100"/>
      <c r="AR74" s="99"/>
      <c r="AS74" s="100"/>
      <c r="AT74" s="99"/>
      <c r="AU74" s="100"/>
      <c r="AV74" s="100"/>
      <c r="AW74" s="100"/>
      <c r="AX74" s="100"/>
      <c r="AY74" s="99"/>
      <c r="AZ74" s="100"/>
      <c r="BA74" s="99"/>
      <c r="BB74" s="100"/>
      <c r="BC74" s="99"/>
      <c r="BD74" s="100"/>
      <c r="BE74" s="100"/>
      <c r="BF74" s="100"/>
      <c r="BG74" s="100"/>
      <c r="BH74" s="99"/>
      <c r="BI74" s="100"/>
      <c r="BJ74" s="99"/>
      <c r="BK74" s="100"/>
      <c r="BL74" s="99"/>
      <c r="BM74" s="100"/>
      <c r="BN74" s="100"/>
      <c r="BO74" s="100"/>
      <c r="BP74" s="100"/>
      <c r="BQ74" s="99"/>
      <c r="BR74" s="100"/>
      <c r="BS74" s="99"/>
      <c r="BT74" s="100"/>
      <c r="BU74" s="99"/>
      <c r="BV74" s="100"/>
      <c r="BW74" s="100"/>
      <c r="BX74" s="100"/>
      <c r="BY74" s="100"/>
      <c r="BZ74" s="99"/>
      <c r="CA74" s="100"/>
      <c r="CB74" s="99"/>
      <c r="CC74" s="100"/>
      <c r="CD74" s="99"/>
      <c r="CE74" s="100"/>
      <c r="CF74" s="100"/>
      <c r="CG74" s="100"/>
      <c r="CH74" s="100"/>
      <c r="CI74" s="99"/>
      <c r="CJ74" s="100"/>
      <c r="CK74" s="99"/>
      <c r="CL74" s="100"/>
      <c r="CM74" s="99"/>
      <c r="CN74" s="100"/>
      <c r="CO74" s="100"/>
      <c r="CP74" s="100"/>
      <c r="CQ74" s="100"/>
      <c r="CR74" s="99"/>
      <c r="CS74" s="100"/>
      <c r="CT74" s="99"/>
      <c r="CU74" s="100"/>
      <c r="CV74" s="99"/>
      <c r="CW74" s="100"/>
      <c r="CX74" s="100"/>
      <c r="CY74" s="100"/>
      <c r="CZ74" s="100"/>
      <c r="DA74" s="99"/>
      <c r="DB74" s="100"/>
      <c r="DC74" s="99"/>
      <c r="DD74" s="100"/>
      <c r="DE74" s="99"/>
      <c r="DF74" s="100"/>
      <c r="DG74" s="100"/>
      <c r="DH74" s="100"/>
      <c r="DI74" s="100"/>
      <c r="DJ74" s="99"/>
      <c r="DK74" s="100"/>
      <c r="DL74" s="99"/>
      <c r="DM74" s="100"/>
      <c r="DN74" s="99"/>
      <c r="DO74" s="100"/>
      <c r="DP74" s="100"/>
      <c r="DQ74" s="100"/>
      <c r="DR74" s="100"/>
      <c r="DS74" s="99"/>
      <c r="DT74" s="100"/>
      <c r="DU74" s="99"/>
      <c r="DV74" s="100"/>
      <c r="DW74" s="99"/>
      <c r="DX74" s="100"/>
      <c r="DY74" s="100"/>
      <c r="DZ74" s="100"/>
      <c r="EA74" s="100"/>
      <c r="EB74" s="99"/>
      <c r="EC74" s="100"/>
      <c r="ED74" s="99"/>
      <c r="EE74" s="100"/>
      <c r="EF74" s="99"/>
      <c r="EG74" s="100"/>
      <c r="EH74" s="100"/>
      <c r="EI74" s="100"/>
      <c r="EJ74" s="99"/>
      <c r="EK74" s="100"/>
      <c r="EL74" s="99"/>
      <c r="EM74" s="100"/>
      <c r="EN74" s="99"/>
      <c r="EO74" s="77">
        <f t="shared" si="40"/>
        <v>0</v>
      </c>
      <c r="EP74" s="77" t="s">
        <v>29</v>
      </c>
      <c r="EQ74" s="85" t="s">
        <v>3</v>
      </c>
      <c r="ER74" s="101">
        <f>ER63</f>
        <v>0</v>
      </c>
      <c r="ES74" s="87" t="e">
        <f t="shared" si="41"/>
        <v>#DIV/0!</v>
      </c>
      <c r="ET74" s="100"/>
      <c r="EU74" s="99"/>
      <c r="EV74" s="100"/>
    </row>
    <row r="75" spans="1:154" s="35" customFormat="1" ht="30" hidden="1" customHeight="1" x14ac:dyDescent="0.25">
      <c r="A75" s="102" t="str">
        <f>E1</f>
        <v>Wettkampf 1</v>
      </c>
      <c r="B75" s="103">
        <f>E64</f>
        <v>0</v>
      </c>
      <c r="C75" s="103">
        <f>J64</f>
        <v>0</v>
      </c>
      <c r="D75" s="103"/>
      <c r="E75" s="104">
        <f t="shared" ref="E75:E89" si="42">B75-C75</f>
        <v>0</v>
      </c>
      <c r="F75" s="105">
        <f>SUM(F76:F134)</f>
        <v>0</v>
      </c>
      <c r="G75" s="92"/>
      <c r="H75" s="99"/>
      <c r="I75" s="23">
        <f t="shared" ref="I75:I110" si="43">I4*(($B4)+D4)*0.1*C4</f>
        <v>0</v>
      </c>
      <c r="J75" s="23">
        <f t="shared" ref="J75:J110" si="44">J4*(($B4)+D4)*0.5*C4</f>
        <v>0</v>
      </c>
      <c r="K75" s="23">
        <f t="shared" ref="K75:K110" si="45">K4*(($B4)+D4)*C4</f>
        <v>0</v>
      </c>
      <c r="L75" s="99"/>
      <c r="M75" s="99"/>
      <c r="N75" s="99"/>
      <c r="O75" s="105">
        <f>SUM(O76:O134)</f>
        <v>0</v>
      </c>
      <c r="P75" s="92"/>
      <c r="Q75" s="99"/>
      <c r="R75" s="23">
        <f t="shared" ref="R75:R133" si="46">R4*(($B4)+M4)*0.1*L4</f>
        <v>0</v>
      </c>
      <c r="S75" s="23">
        <f t="shared" ref="S75:S133" si="47">S4*(($B4)+M4)*0.5*L4</f>
        <v>0</v>
      </c>
      <c r="T75" s="23">
        <f t="shared" ref="T75:T133" si="48">T4*(($B4)+M4)*L4</f>
        <v>0</v>
      </c>
      <c r="U75" s="99"/>
      <c r="V75" s="99"/>
      <c r="W75" s="99"/>
      <c r="X75" s="105">
        <f>SUM(X76:X134)</f>
        <v>0</v>
      </c>
      <c r="Y75" s="92"/>
      <c r="Z75" s="99"/>
      <c r="AA75" s="23">
        <f t="shared" ref="AA75:AA133" si="49">AA4*(($B4)+V4)*0.1*U4</f>
        <v>0</v>
      </c>
      <c r="AB75" s="23">
        <f t="shared" ref="AB75:AB133" si="50">AB4*(($B4)+V4)*0.5*U4</f>
        <v>0</v>
      </c>
      <c r="AC75" s="23">
        <f t="shared" ref="AC75:AC133" si="51">AC4*(($B4)+V4)*U4</f>
        <v>0</v>
      </c>
      <c r="AD75" s="99"/>
      <c r="AE75" s="99"/>
      <c r="AF75" s="99"/>
      <c r="AG75" s="105">
        <f>SUM(AG76:AG134)</f>
        <v>0</v>
      </c>
      <c r="AH75" s="92"/>
      <c r="AI75" s="99"/>
      <c r="AJ75" s="23">
        <f t="shared" ref="AJ75:AJ133" si="52">AJ4*(($B4)+AE4)*0.1*AD4</f>
        <v>0</v>
      </c>
      <c r="AK75" s="23">
        <f t="shared" ref="AK75:AK133" si="53">AK4*(($B4)+AE4)*0.5*AD4</f>
        <v>0</v>
      </c>
      <c r="AL75" s="23">
        <f t="shared" ref="AL75:AL133" si="54">AL4*(($B4)+AE4)*AD4</f>
        <v>0</v>
      </c>
      <c r="AM75" s="99"/>
      <c r="AN75" s="99"/>
      <c r="AO75" s="99"/>
      <c r="AP75" s="105">
        <f>SUM(AP76:AP134)</f>
        <v>0</v>
      </c>
      <c r="AQ75" s="92"/>
      <c r="AR75" s="99"/>
      <c r="AS75" s="23">
        <f t="shared" ref="AS75:AS133" si="55">AS4*(($B4)+AN4)*0.1*AM4</f>
        <v>0</v>
      </c>
      <c r="AT75" s="23">
        <f t="shared" ref="AT75:AT133" si="56">AT4*(($B4)+AN4)*0.5*AM4</f>
        <v>0</v>
      </c>
      <c r="AU75" s="23">
        <f t="shared" ref="AU75:AU133" si="57">AU4*(($B4)+AN4)*AM4</f>
        <v>0</v>
      </c>
      <c r="AV75" s="99"/>
      <c r="AW75" s="99"/>
      <c r="AX75" s="99"/>
      <c r="AY75" s="105">
        <f>SUM(AY76:AY134)</f>
        <v>0</v>
      </c>
      <c r="AZ75" s="92"/>
      <c r="BA75" s="99"/>
      <c r="BB75" s="23">
        <f t="shared" ref="BB75:BB133" si="58">BB4*(($B4)+AW4)*0.1*AV4</f>
        <v>0</v>
      </c>
      <c r="BC75" s="23">
        <f t="shared" ref="BC75:BC133" si="59">BC4*(($B4)+AW4)*0.5*AV4</f>
        <v>0</v>
      </c>
      <c r="BD75" s="23">
        <f t="shared" ref="BD75:BD133" si="60">BD4*(($B4)+AW4)*AV4</f>
        <v>0</v>
      </c>
      <c r="BE75" s="99"/>
      <c r="BF75" s="99"/>
      <c r="BG75" s="99"/>
      <c r="BH75" s="105">
        <f>SUM(BH76:BH134)</f>
        <v>0</v>
      </c>
      <c r="BI75" s="92"/>
      <c r="BJ75" s="99"/>
      <c r="BK75" s="23">
        <f t="shared" ref="BK75:BK133" si="61">BK4*(($B4)+BF4)*0.1*BE4</f>
        <v>0</v>
      </c>
      <c r="BL75" s="23">
        <f t="shared" ref="BL75:BL133" si="62">BL4*(($B4)+BF4)*0.5*BE4</f>
        <v>0</v>
      </c>
      <c r="BM75" s="23">
        <f t="shared" ref="BM75:BM133" si="63">BM4*(($B4)+BF4)*BE4</f>
        <v>0</v>
      </c>
      <c r="BN75" s="99"/>
      <c r="BO75" s="99"/>
      <c r="BP75" s="99"/>
      <c r="BQ75" s="105">
        <f>SUM(BQ76:BQ134)</f>
        <v>0</v>
      </c>
      <c r="BR75" s="92"/>
      <c r="BS75" s="99"/>
      <c r="BT75" s="23">
        <f t="shared" ref="BT75:BT133" si="64">BT4*(($B4)+BO4)*0.1*BN4</f>
        <v>0</v>
      </c>
      <c r="BU75" s="23">
        <f t="shared" ref="BU75:BU133" si="65">BU4*(($B4)+BO4)*0.5*BN4</f>
        <v>0</v>
      </c>
      <c r="BV75" s="23">
        <f t="shared" ref="BV75:BV133" si="66">BV4*(($B4)+BO4)*BN4</f>
        <v>0</v>
      </c>
      <c r="BW75" s="99"/>
      <c r="BX75" s="99"/>
      <c r="BY75" s="99"/>
      <c r="BZ75" s="105">
        <f>SUM(BZ76:BZ134)</f>
        <v>0</v>
      </c>
      <c r="CA75" s="92"/>
      <c r="CB75" s="99"/>
      <c r="CC75" s="23">
        <f t="shared" ref="CC75:CC133" si="67">CC4*(($B4)+BX4)*0.1*BW4</f>
        <v>0</v>
      </c>
      <c r="CD75" s="23">
        <f t="shared" ref="CD75:CD133" si="68">CD4*(($B4)+BX4)*0.5*BW4</f>
        <v>0</v>
      </c>
      <c r="CE75" s="23">
        <f t="shared" ref="CE75:CE133" si="69">CE4*(($B4)+BX4)*BW4</f>
        <v>0</v>
      </c>
      <c r="CF75" s="99"/>
      <c r="CG75" s="99"/>
      <c r="CH75" s="99"/>
      <c r="CI75" s="105">
        <f>SUM(CI76:CI134)</f>
        <v>0</v>
      </c>
      <c r="CJ75" s="92"/>
      <c r="CK75" s="99"/>
      <c r="CL75" s="23">
        <f t="shared" ref="CL75:CL133" si="70">CL4*(($B4)+CG4)*0.1*CF4</f>
        <v>0</v>
      </c>
      <c r="CM75" s="23">
        <f t="shared" ref="CM75:CM133" si="71">CM4*(($B4)+CG4)*0.5*CF4</f>
        <v>0</v>
      </c>
      <c r="CN75" s="23">
        <f t="shared" ref="CN75:CN133" si="72">CN4*(($B4)+CG4)*CF4</f>
        <v>0</v>
      </c>
      <c r="CO75" s="99"/>
      <c r="CP75" s="99"/>
      <c r="CQ75" s="99"/>
      <c r="CR75" s="105">
        <f>SUM(CR76:CR134)</f>
        <v>0</v>
      </c>
      <c r="CS75" s="92"/>
      <c r="CT75" s="99"/>
      <c r="CU75" s="23">
        <f t="shared" ref="CU75:CU133" si="73">CU4*(($B4)+CP4)*0.1*CO4</f>
        <v>0</v>
      </c>
      <c r="CV75" s="23">
        <f t="shared" ref="CV75:CV133" si="74">CV4*(($B4)+CP4)*0.5*CO4</f>
        <v>0</v>
      </c>
      <c r="CW75" s="23">
        <f t="shared" ref="CW75:CW133" si="75">CW4*(($B4)+CP4)*CO4</f>
        <v>0</v>
      </c>
      <c r="CX75" s="99"/>
      <c r="CY75" s="99"/>
      <c r="CZ75" s="99"/>
      <c r="DA75" s="105">
        <f>SUM(DA76:DA134)</f>
        <v>0</v>
      </c>
      <c r="DB75" s="92"/>
      <c r="DC75" s="99"/>
      <c r="DD75" s="23">
        <f t="shared" ref="DD75:DD133" si="76">DD4*(($B4)+CY4)*0.1*CX4</f>
        <v>0</v>
      </c>
      <c r="DE75" s="23">
        <f t="shared" ref="DE75:DE133" si="77">DE4*(($B4)+CY4)*0.5*CX4</f>
        <v>0</v>
      </c>
      <c r="DF75" s="23">
        <f t="shared" ref="DF75:DF133" si="78">DF4*(($B4)+CY4)*CX4</f>
        <v>0</v>
      </c>
      <c r="DG75" s="99"/>
      <c r="DH75" s="99"/>
      <c r="DI75" s="99"/>
      <c r="DJ75" s="105">
        <f>SUM(DJ76:DJ134)</f>
        <v>0</v>
      </c>
      <c r="DK75" s="92"/>
      <c r="DL75" s="99"/>
      <c r="DM75" s="23">
        <f t="shared" ref="DM75:DM133" si="79">DM4*(($B4)+DH4)*0.1*DG4</f>
        <v>0</v>
      </c>
      <c r="DN75" s="23">
        <f t="shared" ref="DN75:DN133" si="80">DN4*(($B4)+DH4)*0.5*DG4</f>
        <v>0</v>
      </c>
      <c r="DO75" s="23">
        <f t="shared" ref="DO75:DO133" si="81">DO4*(($B4)+DH4)*DG4</f>
        <v>0</v>
      </c>
      <c r="DP75" s="99"/>
      <c r="DQ75" s="99"/>
      <c r="DR75" s="99"/>
      <c r="DS75" s="105">
        <f>SUM(DS76:DS134)</f>
        <v>0</v>
      </c>
      <c r="DT75" s="92"/>
      <c r="DU75" s="99"/>
      <c r="DV75" s="23">
        <f t="shared" ref="DV75:DV133" si="82">DV4*(($B4)+DQ4)*0.1*DP4</f>
        <v>0</v>
      </c>
      <c r="DW75" s="23">
        <f t="shared" ref="DW75:DW133" si="83">DW4*(($B4)+DQ4)*0.5*DP4</f>
        <v>0</v>
      </c>
      <c r="DX75" s="23">
        <f t="shared" ref="DX75:DX133" si="84">DX4*(($B4)+DQ4)*DP4</f>
        <v>0</v>
      </c>
      <c r="DY75" s="99"/>
      <c r="DZ75" s="99"/>
      <c r="EA75" s="99"/>
      <c r="EB75" s="105">
        <f>SUM(EB76:EB134)</f>
        <v>0</v>
      </c>
      <c r="EC75" s="92"/>
      <c r="ED75" s="99"/>
      <c r="EE75" s="23">
        <f>EE4*(($B4)+DZ4)*0.1*DY4</f>
        <v>0</v>
      </c>
      <c r="EF75" s="23">
        <f t="shared" ref="EF75:EF133" si="85">EF4*(($B4)+DZ4)*0.5*DY4</f>
        <v>0</v>
      </c>
      <c r="EG75" s="23">
        <f t="shared" ref="EG75:EG133" si="86">EG4*(($B4)+DZ4)*DY4</f>
        <v>0</v>
      </c>
      <c r="EH75" s="99"/>
      <c r="EI75" s="99"/>
      <c r="EJ75" s="92"/>
      <c r="EK75" s="92"/>
      <c r="EL75" s="99"/>
      <c r="EM75" s="99"/>
      <c r="EN75" s="99"/>
      <c r="EO75" s="77">
        <f t="shared" si="40"/>
        <v>0</v>
      </c>
      <c r="EP75" s="77" t="s">
        <v>29</v>
      </c>
      <c r="EQ75" s="85">
        <v>0</v>
      </c>
      <c r="ER75" s="106">
        <f>ES63</f>
        <v>0</v>
      </c>
      <c r="ES75" s="87" t="e">
        <f t="shared" si="41"/>
        <v>#DIV/0!</v>
      </c>
      <c r="ET75" s="99"/>
      <c r="EU75" s="99"/>
      <c r="EV75" s="99"/>
      <c r="EW75" s="36"/>
      <c r="EX75" s="36"/>
    </row>
    <row r="76" spans="1:154" ht="30" hidden="1" customHeight="1" x14ac:dyDescent="0.25">
      <c r="A76" s="102" t="str">
        <f>N1</f>
        <v>Wettkampf 2</v>
      </c>
      <c r="B76" s="103">
        <f>N64</f>
        <v>0</v>
      </c>
      <c r="C76" s="103">
        <f>S64</f>
        <v>0</v>
      </c>
      <c r="D76" s="103"/>
      <c r="E76" s="104">
        <f t="shared" si="42"/>
        <v>0</v>
      </c>
      <c r="F76" s="89">
        <f>($B4+D4)*C4</f>
        <v>0</v>
      </c>
      <c r="G76" s="92"/>
      <c r="H76" s="99"/>
      <c r="I76" s="23">
        <f t="shared" si="43"/>
        <v>0</v>
      </c>
      <c r="J76" s="23">
        <f t="shared" si="44"/>
        <v>0</v>
      </c>
      <c r="K76" s="23">
        <f t="shared" si="45"/>
        <v>0</v>
      </c>
      <c r="L76" s="99"/>
      <c r="M76" s="99"/>
      <c r="N76" s="99"/>
      <c r="O76" s="89">
        <f>($B4+M4)*L4</f>
        <v>0</v>
      </c>
      <c r="P76" s="92"/>
      <c r="Q76" s="99"/>
      <c r="R76" s="23">
        <f t="shared" si="46"/>
        <v>0</v>
      </c>
      <c r="S76" s="23">
        <f t="shared" si="47"/>
        <v>0</v>
      </c>
      <c r="T76" s="23">
        <f t="shared" si="48"/>
        <v>0</v>
      </c>
      <c r="U76" s="99"/>
      <c r="V76" s="99"/>
      <c r="W76" s="99"/>
      <c r="X76" s="89">
        <f>($B4+V4)*U4</f>
        <v>0</v>
      </c>
      <c r="Y76" s="92"/>
      <c r="Z76" s="99"/>
      <c r="AA76" s="23">
        <f t="shared" si="49"/>
        <v>0</v>
      </c>
      <c r="AB76" s="23">
        <f t="shared" si="50"/>
        <v>0</v>
      </c>
      <c r="AC76" s="23">
        <f t="shared" si="51"/>
        <v>0</v>
      </c>
      <c r="AD76" s="99"/>
      <c r="AE76" s="99"/>
      <c r="AF76" s="99"/>
      <c r="AG76" s="89">
        <f>($B4+AE4)*AD4</f>
        <v>0</v>
      </c>
      <c r="AH76" s="92"/>
      <c r="AI76" s="99"/>
      <c r="AJ76" s="23">
        <f t="shared" si="52"/>
        <v>0</v>
      </c>
      <c r="AK76" s="23">
        <f t="shared" si="53"/>
        <v>0</v>
      </c>
      <c r="AL76" s="23">
        <f t="shared" si="54"/>
        <v>0</v>
      </c>
      <c r="AM76" s="99"/>
      <c r="AN76" s="99"/>
      <c r="AO76" s="99"/>
      <c r="AP76" s="89">
        <f>($B4+AN4)*AM4</f>
        <v>0</v>
      </c>
      <c r="AQ76" s="92"/>
      <c r="AR76" s="99"/>
      <c r="AS76" s="23">
        <f t="shared" si="55"/>
        <v>0</v>
      </c>
      <c r="AT76" s="23">
        <f t="shared" si="56"/>
        <v>0</v>
      </c>
      <c r="AU76" s="23">
        <f t="shared" si="57"/>
        <v>0</v>
      </c>
      <c r="AV76" s="99"/>
      <c r="AW76" s="99"/>
      <c r="AX76" s="99"/>
      <c r="AY76" s="89">
        <f>($B4+AW4)*AV4</f>
        <v>0</v>
      </c>
      <c r="AZ76" s="92"/>
      <c r="BA76" s="99"/>
      <c r="BB76" s="23">
        <f t="shared" si="58"/>
        <v>0</v>
      </c>
      <c r="BC76" s="23">
        <f t="shared" si="59"/>
        <v>0</v>
      </c>
      <c r="BD76" s="23">
        <f t="shared" si="60"/>
        <v>0</v>
      </c>
      <c r="BE76" s="99"/>
      <c r="BF76" s="99"/>
      <c r="BG76" s="99"/>
      <c r="BH76" s="89">
        <f>($B4+BF4)*BE4</f>
        <v>0</v>
      </c>
      <c r="BI76" s="92"/>
      <c r="BJ76" s="99"/>
      <c r="BK76" s="23">
        <f t="shared" si="61"/>
        <v>0</v>
      </c>
      <c r="BL76" s="23">
        <f t="shared" si="62"/>
        <v>0</v>
      </c>
      <c r="BM76" s="23">
        <f t="shared" si="63"/>
        <v>0</v>
      </c>
      <c r="BN76" s="99"/>
      <c r="BO76" s="99"/>
      <c r="BP76" s="99"/>
      <c r="BQ76" s="89">
        <f>($B4+BO4)*BN4</f>
        <v>0</v>
      </c>
      <c r="BR76" s="92"/>
      <c r="BS76" s="99"/>
      <c r="BT76" s="23">
        <f t="shared" si="64"/>
        <v>0</v>
      </c>
      <c r="BU76" s="23">
        <f t="shared" si="65"/>
        <v>0</v>
      </c>
      <c r="BV76" s="23">
        <f t="shared" si="66"/>
        <v>0</v>
      </c>
      <c r="BW76" s="99"/>
      <c r="BX76" s="99"/>
      <c r="BY76" s="99"/>
      <c r="BZ76" s="89">
        <f>($B4+BX4)*BW4</f>
        <v>0</v>
      </c>
      <c r="CA76" s="92"/>
      <c r="CB76" s="99"/>
      <c r="CC76" s="23">
        <f t="shared" si="67"/>
        <v>0</v>
      </c>
      <c r="CD76" s="23">
        <f t="shared" si="68"/>
        <v>0</v>
      </c>
      <c r="CE76" s="23">
        <f t="shared" si="69"/>
        <v>0</v>
      </c>
      <c r="CF76" s="99"/>
      <c r="CG76" s="99"/>
      <c r="CH76" s="99"/>
      <c r="CI76" s="89">
        <f>($B4+CG4)*CF4</f>
        <v>0</v>
      </c>
      <c r="CJ76" s="92"/>
      <c r="CK76" s="99"/>
      <c r="CL76" s="23">
        <f t="shared" si="70"/>
        <v>0</v>
      </c>
      <c r="CM76" s="23">
        <f t="shared" si="71"/>
        <v>0</v>
      </c>
      <c r="CN76" s="23">
        <f t="shared" si="72"/>
        <v>0</v>
      </c>
      <c r="CO76" s="99"/>
      <c r="CP76" s="99"/>
      <c r="CQ76" s="99"/>
      <c r="CR76" s="89">
        <f>($B4+CP4)*CO4</f>
        <v>0</v>
      </c>
      <c r="CS76" s="92"/>
      <c r="CT76" s="99"/>
      <c r="CU76" s="23">
        <f t="shared" si="73"/>
        <v>0</v>
      </c>
      <c r="CV76" s="23">
        <f t="shared" si="74"/>
        <v>0</v>
      </c>
      <c r="CW76" s="23">
        <f t="shared" si="75"/>
        <v>0</v>
      </c>
      <c r="CX76" s="99"/>
      <c r="CY76" s="99"/>
      <c r="CZ76" s="99"/>
      <c r="DA76" s="89">
        <f>($B4+CY4)*CX4</f>
        <v>0</v>
      </c>
      <c r="DB76" s="92"/>
      <c r="DC76" s="99"/>
      <c r="DD76" s="23">
        <f t="shared" si="76"/>
        <v>0</v>
      </c>
      <c r="DE76" s="23">
        <f t="shared" si="77"/>
        <v>0</v>
      </c>
      <c r="DF76" s="23">
        <f t="shared" si="78"/>
        <v>0</v>
      </c>
      <c r="DG76" s="99"/>
      <c r="DH76" s="99"/>
      <c r="DI76" s="99"/>
      <c r="DJ76" s="89">
        <f>($B4+DH4)*DG4</f>
        <v>0</v>
      </c>
      <c r="DK76" s="92"/>
      <c r="DL76" s="99"/>
      <c r="DM76" s="23">
        <f t="shared" si="79"/>
        <v>0</v>
      </c>
      <c r="DN76" s="23">
        <f t="shared" si="80"/>
        <v>0</v>
      </c>
      <c r="DO76" s="23">
        <f t="shared" si="81"/>
        <v>0</v>
      </c>
      <c r="DP76" s="99"/>
      <c r="DQ76" s="99"/>
      <c r="DR76" s="99"/>
      <c r="DS76" s="89">
        <f>($B4+DQ4)*DP4</f>
        <v>0</v>
      </c>
      <c r="DT76" s="92"/>
      <c r="DU76" s="99"/>
      <c r="DV76" s="23">
        <f t="shared" si="82"/>
        <v>0</v>
      </c>
      <c r="DW76" s="23">
        <f t="shared" si="83"/>
        <v>0</v>
      </c>
      <c r="DX76" s="23">
        <f t="shared" si="84"/>
        <v>0</v>
      </c>
      <c r="DY76" s="99"/>
      <c r="DZ76" s="99"/>
      <c r="EA76" s="99"/>
      <c r="EB76" s="89">
        <f>($B4+DZ4)*DY4</f>
        <v>0</v>
      </c>
      <c r="EC76" s="92"/>
      <c r="ED76" s="99"/>
      <c r="EE76" s="23">
        <f t="shared" ref="EE76:EE133" si="87">EE5*(($B5)+DZ5)*0.1*DY5</f>
        <v>0</v>
      </c>
      <c r="EF76" s="23">
        <f t="shared" si="85"/>
        <v>0</v>
      </c>
      <c r="EG76" s="23">
        <f t="shared" si="86"/>
        <v>0</v>
      </c>
      <c r="EH76" s="99"/>
      <c r="EI76" s="99"/>
      <c r="EJ76" s="92"/>
      <c r="EK76" s="92"/>
      <c r="EL76" s="99"/>
      <c r="EM76" s="99"/>
      <c r="EN76" s="99"/>
      <c r="EO76" s="77">
        <f t="shared" si="40"/>
        <v>0</v>
      </c>
      <c r="EP76" s="77" t="s">
        <v>29</v>
      </c>
      <c r="EQ76" s="107">
        <v>0.1</v>
      </c>
      <c r="ER76" s="106">
        <f>ET63</f>
        <v>0</v>
      </c>
      <c r="ES76" s="87" t="e">
        <f t="shared" si="41"/>
        <v>#DIV/0!</v>
      </c>
      <c r="ET76" s="99"/>
      <c r="EU76" s="99"/>
      <c r="EV76" s="99"/>
    </row>
    <row r="77" spans="1:154" ht="36" hidden="1" customHeight="1" x14ac:dyDescent="0.25">
      <c r="A77" s="102" t="str">
        <f>W1</f>
        <v>Wettkampf 3</v>
      </c>
      <c r="B77" s="103">
        <f>W64</f>
        <v>0</v>
      </c>
      <c r="C77" s="103">
        <f>AB64</f>
        <v>0</v>
      </c>
      <c r="D77" s="103"/>
      <c r="E77" s="104">
        <f t="shared" si="42"/>
        <v>0</v>
      </c>
      <c r="F77" s="89">
        <f t="shared" ref="F77:F134" si="88">($B5+D5)*C5</f>
        <v>0</v>
      </c>
      <c r="G77" s="92"/>
      <c r="H77" s="99"/>
      <c r="I77" s="23">
        <f t="shared" si="43"/>
        <v>0</v>
      </c>
      <c r="J77" s="23">
        <f t="shared" si="44"/>
        <v>0</v>
      </c>
      <c r="K77" s="23">
        <f t="shared" si="45"/>
        <v>0</v>
      </c>
      <c r="L77" s="99"/>
      <c r="M77" s="99"/>
      <c r="N77" s="99"/>
      <c r="O77" s="89">
        <f t="shared" ref="O77:O134" si="89">($B5+M5)*L5</f>
        <v>0</v>
      </c>
      <c r="P77" s="92"/>
      <c r="Q77" s="99"/>
      <c r="R77" s="23">
        <f t="shared" si="46"/>
        <v>0</v>
      </c>
      <c r="S77" s="23">
        <f t="shared" si="47"/>
        <v>0</v>
      </c>
      <c r="T77" s="23">
        <f t="shared" si="48"/>
        <v>0</v>
      </c>
      <c r="U77" s="99"/>
      <c r="V77" s="99"/>
      <c r="W77" s="99"/>
      <c r="X77" s="89">
        <f t="shared" ref="X77:X134" si="90">($B5+V5)*U5</f>
        <v>0</v>
      </c>
      <c r="Y77" s="92"/>
      <c r="Z77" s="99"/>
      <c r="AA77" s="23">
        <f t="shared" si="49"/>
        <v>0</v>
      </c>
      <c r="AB77" s="23">
        <f t="shared" si="50"/>
        <v>0</v>
      </c>
      <c r="AC77" s="23">
        <f t="shared" si="51"/>
        <v>0</v>
      </c>
      <c r="AD77" s="99"/>
      <c r="AE77" s="99"/>
      <c r="AF77" s="99"/>
      <c r="AG77" s="89">
        <f t="shared" ref="AG77:AG134" si="91">($B5+AE5)*AD5</f>
        <v>0</v>
      </c>
      <c r="AH77" s="92"/>
      <c r="AI77" s="99"/>
      <c r="AJ77" s="23">
        <f t="shared" si="52"/>
        <v>0</v>
      </c>
      <c r="AK77" s="23">
        <f t="shared" si="53"/>
        <v>0</v>
      </c>
      <c r="AL77" s="23">
        <f t="shared" si="54"/>
        <v>0</v>
      </c>
      <c r="AM77" s="99"/>
      <c r="AN77" s="99"/>
      <c r="AO77" s="99"/>
      <c r="AP77" s="89">
        <f t="shared" ref="AP77:AP134" si="92">($B5+AN5)*AM5</f>
        <v>0</v>
      </c>
      <c r="AQ77" s="92"/>
      <c r="AR77" s="99"/>
      <c r="AS77" s="23">
        <f t="shared" si="55"/>
        <v>0</v>
      </c>
      <c r="AT77" s="23">
        <f t="shared" si="56"/>
        <v>0</v>
      </c>
      <c r="AU77" s="23">
        <f t="shared" si="57"/>
        <v>0</v>
      </c>
      <c r="AV77" s="99"/>
      <c r="AW77" s="99"/>
      <c r="AX77" s="99"/>
      <c r="AY77" s="89">
        <f t="shared" ref="AY77:AY134" si="93">($B5+AW5)*AV5</f>
        <v>0</v>
      </c>
      <c r="AZ77" s="92"/>
      <c r="BA77" s="99"/>
      <c r="BB77" s="23">
        <f t="shared" si="58"/>
        <v>0</v>
      </c>
      <c r="BC77" s="23">
        <f t="shared" si="59"/>
        <v>0</v>
      </c>
      <c r="BD77" s="23">
        <f t="shared" si="60"/>
        <v>0</v>
      </c>
      <c r="BE77" s="99"/>
      <c r="BF77" s="99"/>
      <c r="BG77" s="99"/>
      <c r="BH77" s="89">
        <f t="shared" ref="BH77:BH134" si="94">($B5+BF5)*BE5</f>
        <v>0</v>
      </c>
      <c r="BI77" s="92"/>
      <c r="BJ77" s="99"/>
      <c r="BK77" s="23">
        <f t="shared" si="61"/>
        <v>0</v>
      </c>
      <c r="BL77" s="23">
        <f t="shared" si="62"/>
        <v>0</v>
      </c>
      <c r="BM77" s="23">
        <f t="shared" si="63"/>
        <v>0</v>
      </c>
      <c r="BN77" s="99"/>
      <c r="BO77" s="99"/>
      <c r="BP77" s="99"/>
      <c r="BQ77" s="89">
        <f t="shared" ref="BQ77:BQ134" si="95">($B5+BO5)*BN5</f>
        <v>0</v>
      </c>
      <c r="BR77" s="92"/>
      <c r="BS77" s="99"/>
      <c r="BT77" s="23">
        <f t="shared" si="64"/>
        <v>0</v>
      </c>
      <c r="BU77" s="23">
        <f t="shared" si="65"/>
        <v>0</v>
      </c>
      <c r="BV77" s="23">
        <f t="shared" si="66"/>
        <v>0</v>
      </c>
      <c r="BW77" s="99"/>
      <c r="BX77" s="99"/>
      <c r="BY77" s="99"/>
      <c r="BZ77" s="89">
        <f t="shared" ref="BZ77:BZ134" si="96">($B5+BX5)*BW5</f>
        <v>0</v>
      </c>
      <c r="CA77" s="92"/>
      <c r="CB77" s="99"/>
      <c r="CC77" s="23">
        <f t="shared" si="67"/>
        <v>0</v>
      </c>
      <c r="CD77" s="23">
        <f t="shared" si="68"/>
        <v>0</v>
      </c>
      <c r="CE77" s="23">
        <f t="shared" si="69"/>
        <v>0</v>
      </c>
      <c r="CF77" s="99"/>
      <c r="CG77" s="99"/>
      <c r="CH77" s="99"/>
      <c r="CI77" s="89">
        <f t="shared" ref="CI77:CI134" si="97">($B5+CG5)*CF5</f>
        <v>0</v>
      </c>
      <c r="CJ77" s="92"/>
      <c r="CK77" s="99"/>
      <c r="CL77" s="23">
        <f t="shared" si="70"/>
        <v>0</v>
      </c>
      <c r="CM77" s="23">
        <f t="shared" si="71"/>
        <v>0</v>
      </c>
      <c r="CN77" s="23">
        <f t="shared" si="72"/>
        <v>0</v>
      </c>
      <c r="CO77" s="99"/>
      <c r="CP77" s="99"/>
      <c r="CQ77" s="99"/>
      <c r="CR77" s="89">
        <f t="shared" ref="CR77:CR134" si="98">($B5+CP5)*CO5</f>
        <v>0</v>
      </c>
      <c r="CS77" s="92"/>
      <c r="CT77" s="99"/>
      <c r="CU77" s="23">
        <f t="shared" si="73"/>
        <v>0</v>
      </c>
      <c r="CV77" s="23">
        <f t="shared" si="74"/>
        <v>0</v>
      </c>
      <c r="CW77" s="23">
        <f t="shared" si="75"/>
        <v>0</v>
      </c>
      <c r="CX77" s="99"/>
      <c r="CY77" s="99"/>
      <c r="CZ77" s="99"/>
      <c r="DA77" s="89">
        <f t="shared" ref="DA77:DA134" si="99">($B5+CY5)*CX5</f>
        <v>0</v>
      </c>
      <c r="DB77" s="92"/>
      <c r="DC77" s="99"/>
      <c r="DD77" s="23">
        <f t="shared" si="76"/>
        <v>0</v>
      </c>
      <c r="DE77" s="23">
        <f t="shared" si="77"/>
        <v>0</v>
      </c>
      <c r="DF77" s="23">
        <f t="shared" si="78"/>
        <v>0</v>
      </c>
      <c r="DG77" s="99"/>
      <c r="DH77" s="99"/>
      <c r="DI77" s="99"/>
      <c r="DJ77" s="89">
        <f t="shared" ref="DJ77:DJ134" si="100">($B5+DH5)*DG5</f>
        <v>0</v>
      </c>
      <c r="DK77" s="92"/>
      <c r="DL77" s="99"/>
      <c r="DM77" s="23">
        <f t="shared" si="79"/>
        <v>0</v>
      </c>
      <c r="DN77" s="23">
        <f t="shared" si="80"/>
        <v>0</v>
      </c>
      <c r="DO77" s="23">
        <f t="shared" si="81"/>
        <v>0</v>
      </c>
      <c r="DP77" s="99"/>
      <c r="DQ77" s="99"/>
      <c r="DR77" s="99"/>
      <c r="DS77" s="89">
        <f t="shared" ref="DS77:DS134" si="101">($B5+DQ5)*DP5</f>
        <v>0</v>
      </c>
      <c r="DT77" s="92"/>
      <c r="DU77" s="99"/>
      <c r="DV77" s="23">
        <f t="shared" si="82"/>
        <v>0</v>
      </c>
      <c r="DW77" s="23">
        <f t="shared" si="83"/>
        <v>0</v>
      </c>
      <c r="DX77" s="23">
        <f t="shared" si="84"/>
        <v>0</v>
      </c>
      <c r="DY77" s="99"/>
      <c r="DZ77" s="99"/>
      <c r="EA77" s="99"/>
      <c r="EB77" s="89">
        <f t="shared" ref="EB77:EB134" si="102">($B5+DZ5)*DY5</f>
        <v>0</v>
      </c>
      <c r="EC77" s="92"/>
      <c r="ED77" s="99"/>
      <c r="EE77" s="23">
        <f t="shared" si="87"/>
        <v>0</v>
      </c>
      <c r="EF77" s="23">
        <f t="shared" si="85"/>
        <v>0</v>
      </c>
      <c r="EG77" s="23">
        <f t="shared" si="86"/>
        <v>0</v>
      </c>
      <c r="EH77" s="99"/>
      <c r="EI77" s="99"/>
      <c r="EJ77" s="92"/>
      <c r="EK77" s="92"/>
      <c r="EL77" s="99"/>
      <c r="EM77" s="99"/>
      <c r="EN77" s="99"/>
      <c r="EO77" s="77">
        <f t="shared" si="40"/>
        <v>0</v>
      </c>
      <c r="EP77" s="77" t="s">
        <v>29</v>
      </c>
      <c r="EQ77" s="107">
        <v>0.5</v>
      </c>
      <c r="ER77" s="106">
        <f>EU63</f>
        <v>0</v>
      </c>
      <c r="ES77" s="87" t="e">
        <f t="shared" si="41"/>
        <v>#DIV/0!</v>
      </c>
      <c r="ET77" s="99"/>
      <c r="EU77" s="99"/>
      <c r="EV77" s="99"/>
    </row>
    <row r="78" spans="1:154" ht="35.25" hidden="1" customHeight="1" x14ac:dyDescent="0.25">
      <c r="A78" s="102" t="str">
        <f>AF1</f>
        <v>Wettkampf 4</v>
      </c>
      <c r="B78" s="103">
        <f>AF64</f>
        <v>0</v>
      </c>
      <c r="C78" s="103">
        <f>AK64</f>
        <v>0</v>
      </c>
      <c r="D78" s="103"/>
      <c r="E78" s="104">
        <f t="shared" si="42"/>
        <v>0</v>
      </c>
      <c r="F78" s="89">
        <f t="shared" si="88"/>
        <v>0</v>
      </c>
      <c r="G78" s="92"/>
      <c r="H78" s="99"/>
      <c r="I78" s="23">
        <f t="shared" si="43"/>
        <v>0</v>
      </c>
      <c r="J78" s="23">
        <f t="shared" si="44"/>
        <v>0</v>
      </c>
      <c r="K78" s="23">
        <f t="shared" si="45"/>
        <v>0</v>
      </c>
      <c r="L78" s="99"/>
      <c r="M78" s="99"/>
      <c r="N78" s="99"/>
      <c r="O78" s="89">
        <f t="shared" si="89"/>
        <v>0</v>
      </c>
      <c r="P78" s="92"/>
      <c r="Q78" s="99"/>
      <c r="R78" s="23">
        <f t="shared" si="46"/>
        <v>0</v>
      </c>
      <c r="S78" s="23">
        <f t="shared" si="47"/>
        <v>0</v>
      </c>
      <c r="T78" s="23">
        <f t="shared" si="48"/>
        <v>0</v>
      </c>
      <c r="U78" s="99"/>
      <c r="V78" s="99"/>
      <c r="W78" s="99"/>
      <c r="X78" s="89">
        <f t="shared" si="90"/>
        <v>0</v>
      </c>
      <c r="Y78" s="92"/>
      <c r="Z78" s="99"/>
      <c r="AA78" s="23">
        <f t="shared" si="49"/>
        <v>0</v>
      </c>
      <c r="AB78" s="23">
        <f t="shared" si="50"/>
        <v>0</v>
      </c>
      <c r="AC78" s="23">
        <f t="shared" si="51"/>
        <v>0</v>
      </c>
      <c r="AD78" s="99"/>
      <c r="AE78" s="99"/>
      <c r="AF78" s="99"/>
      <c r="AG78" s="89">
        <f t="shared" si="91"/>
        <v>0</v>
      </c>
      <c r="AH78" s="92"/>
      <c r="AI78" s="99"/>
      <c r="AJ78" s="23">
        <f t="shared" si="52"/>
        <v>0</v>
      </c>
      <c r="AK78" s="23">
        <f t="shared" si="53"/>
        <v>0</v>
      </c>
      <c r="AL78" s="23">
        <f t="shared" si="54"/>
        <v>0</v>
      </c>
      <c r="AM78" s="99"/>
      <c r="AN78" s="99"/>
      <c r="AO78" s="99"/>
      <c r="AP78" s="89">
        <f t="shared" si="92"/>
        <v>0</v>
      </c>
      <c r="AQ78" s="92"/>
      <c r="AR78" s="99"/>
      <c r="AS78" s="23">
        <f t="shared" si="55"/>
        <v>0</v>
      </c>
      <c r="AT78" s="23">
        <f t="shared" si="56"/>
        <v>0</v>
      </c>
      <c r="AU78" s="23">
        <f t="shared" si="57"/>
        <v>0</v>
      </c>
      <c r="AV78" s="99"/>
      <c r="AW78" s="99"/>
      <c r="AX78" s="99"/>
      <c r="AY78" s="89">
        <f t="shared" si="93"/>
        <v>0</v>
      </c>
      <c r="AZ78" s="92"/>
      <c r="BA78" s="99"/>
      <c r="BB78" s="23">
        <f t="shared" si="58"/>
        <v>0</v>
      </c>
      <c r="BC78" s="23">
        <f t="shared" si="59"/>
        <v>0</v>
      </c>
      <c r="BD78" s="23">
        <f t="shared" si="60"/>
        <v>0</v>
      </c>
      <c r="BE78" s="99"/>
      <c r="BF78" s="99"/>
      <c r="BG78" s="99"/>
      <c r="BH78" s="89">
        <f t="shared" si="94"/>
        <v>0</v>
      </c>
      <c r="BI78" s="92"/>
      <c r="BJ78" s="99"/>
      <c r="BK78" s="23">
        <f t="shared" si="61"/>
        <v>0</v>
      </c>
      <c r="BL78" s="23">
        <f t="shared" si="62"/>
        <v>0</v>
      </c>
      <c r="BM78" s="23">
        <f t="shared" si="63"/>
        <v>0</v>
      </c>
      <c r="BN78" s="99"/>
      <c r="BO78" s="99"/>
      <c r="BP78" s="99"/>
      <c r="BQ78" s="89">
        <f t="shared" si="95"/>
        <v>0</v>
      </c>
      <c r="BR78" s="92"/>
      <c r="BS78" s="99"/>
      <c r="BT78" s="23">
        <f t="shared" si="64"/>
        <v>0</v>
      </c>
      <c r="BU78" s="23">
        <f t="shared" si="65"/>
        <v>0</v>
      </c>
      <c r="BV78" s="23">
        <f t="shared" si="66"/>
        <v>0</v>
      </c>
      <c r="BW78" s="99"/>
      <c r="BX78" s="99"/>
      <c r="BY78" s="99"/>
      <c r="BZ78" s="89">
        <f t="shared" si="96"/>
        <v>0</v>
      </c>
      <c r="CA78" s="92"/>
      <c r="CB78" s="99"/>
      <c r="CC78" s="23">
        <f t="shared" si="67"/>
        <v>0</v>
      </c>
      <c r="CD78" s="23">
        <f t="shared" si="68"/>
        <v>0</v>
      </c>
      <c r="CE78" s="23">
        <f t="shared" si="69"/>
        <v>0</v>
      </c>
      <c r="CF78" s="99"/>
      <c r="CG78" s="99"/>
      <c r="CH78" s="99"/>
      <c r="CI78" s="89">
        <f t="shared" si="97"/>
        <v>0</v>
      </c>
      <c r="CJ78" s="92"/>
      <c r="CK78" s="99"/>
      <c r="CL78" s="23">
        <f t="shared" si="70"/>
        <v>0</v>
      </c>
      <c r="CM78" s="23">
        <f t="shared" si="71"/>
        <v>0</v>
      </c>
      <c r="CN78" s="23">
        <f t="shared" si="72"/>
        <v>0</v>
      </c>
      <c r="CO78" s="99"/>
      <c r="CP78" s="99"/>
      <c r="CQ78" s="99"/>
      <c r="CR78" s="89">
        <f t="shared" si="98"/>
        <v>0</v>
      </c>
      <c r="CS78" s="92"/>
      <c r="CT78" s="99"/>
      <c r="CU78" s="23">
        <f t="shared" si="73"/>
        <v>0</v>
      </c>
      <c r="CV78" s="23">
        <f t="shared" si="74"/>
        <v>0</v>
      </c>
      <c r="CW78" s="23">
        <f t="shared" si="75"/>
        <v>0</v>
      </c>
      <c r="CX78" s="99"/>
      <c r="CY78" s="99"/>
      <c r="CZ78" s="99"/>
      <c r="DA78" s="89">
        <f t="shared" si="99"/>
        <v>0</v>
      </c>
      <c r="DB78" s="92"/>
      <c r="DC78" s="99"/>
      <c r="DD78" s="23">
        <f t="shared" si="76"/>
        <v>0</v>
      </c>
      <c r="DE78" s="23">
        <f t="shared" si="77"/>
        <v>0</v>
      </c>
      <c r="DF78" s="23">
        <f t="shared" si="78"/>
        <v>0</v>
      </c>
      <c r="DG78" s="99"/>
      <c r="DH78" s="99"/>
      <c r="DI78" s="99"/>
      <c r="DJ78" s="89">
        <f t="shared" si="100"/>
        <v>0</v>
      </c>
      <c r="DK78" s="92"/>
      <c r="DL78" s="99"/>
      <c r="DM78" s="23">
        <f t="shared" si="79"/>
        <v>0</v>
      </c>
      <c r="DN78" s="23">
        <f t="shared" si="80"/>
        <v>0</v>
      </c>
      <c r="DO78" s="23">
        <f t="shared" si="81"/>
        <v>0</v>
      </c>
      <c r="DP78" s="99"/>
      <c r="DQ78" s="99"/>
      <c r="DR78" s="99"/>
      <c r="DS78" s="89">
        <f t="shared" si="101"/>
        <v>0</v>
      </c>
      <c r="DT78" s="92"/>
      <c r="DU78" s="99"/>
      <c r="DV78" s="23">
        <f t="shared" si="82"/>
        <v>0</v>
      </c>
      <c r="DW78" s="23">
        <f t="shared" si="83"/>
        <v>0</v>
      </c>
      <c r="DX78" s="23">
        <f t="shared" si="84"/>
        <v>0</v>
      </c>
      <c r="DY78" s="99"/>
      <c r="DZ78" s="99"/>
      <c r="EA78" s="99"/>
      <c r="EB78" s="89">
        <f t="shared" si="102"/>
        <v>0</v>
      </c>
      <c r="EC78" s="92"/>
      <c r="ED78" s="99"/>
      <c r="EE78" s="23">
        <f t="shared" si="87"/>
        <v>0</v>
      </c>
      <c r="EF78" s="23">
        <f t="shared" si="85"/>
        <v>0</v>
      </c>
      <c r="EG78" s="23">
        <f t="shared" si="86"/>
        <v>0</v>
      </c>
      <c r="EH78" s="99"/>
      <c r="EI78" s="99"/>
      <c r="EJ78" s="92"/>
      <c r="EK78" s="92"/>
      <c r="EL78" s="99"/>
      <c r="EM78" s="99"/>
      <c r="EN78" s="99"/>
      <c r="EO78" s="77">
        <f t="shared" si="40"/>
        <v>0</v>
      </c>
      <c r="EP78" s="77" t="s">
        <v>29</v>
      </c>
      <c r="EQ78" s="107">
        <v>1</v>
      </c>
      <c r="ER78" s="106">
        <f>EV63</f>
        <v>0</v>
      </c>
      <c r="ES78" s="87" t="e">
        <f t="shared" si="41"/>
        <v>#DIV/0!</v>
      </c>
      <c r="ET78" s="99"/>
      <c r="EU78" s="99"/>
      <c r="EV78" s="99"/>
    </row>
    <row r="79" spans="1:154" ht="39.75" hidden="1" customHeight="1" x14ac:dyDescent="0.2">
      <c r="A79" s="102" t="str">
        <f>AO1</f>
        <v>Wettkampf 5</v>
      </c>
      <c r="B79" s="103">
        <f>AO64</f>
        <v>0</v>
      </c>
      <c r="C79" s="103">
        <f>AT64</f>
        <v>0</v>
      </c>
      <c r="D79" s="103"/>
      <c r="E79" s="104">
        <f t="shared" si="42"/>
        <v>0</v>
      </c>
      <c r="F79" s="89">
        <f t="shared" si="88"/>
        <v>0</v>
      </c>
      <c r="G79" s="92"/>
      <c r="H79" s="99"/>
      <c r="I79" s="23">
        <f t="shared" si="43"/>
        <v>0</v>
      </c>
      <c r="J79" s="23">
        <f t="shared" si="44"/>
        <v>0</v>
      </c>
      <c r="K79" s="23">
        <f t="shared" si="45"/>
        <v>0</v>
      </c>
      <c r="L79" s="99"/>
      <c r="M79" s="99"/>
      <c r="N79" s="99"/>
      <c r="O79" s="89">
        <f t="shared" si="89"/>
        <v>0</v>
      </c>
      <c r="P79" s="92"/>
      <c r="Q79" s="99"/>
      <c r="R79" s="23">
        <f t="shared" si="46"/>
        <v>0</v>
      </c>
      <c r="S79" s="23">
        <f t="shared" si="47"/>
        <v>0</v>
      </c>
      <c r="T79" s="23">
        <f t="shared" si="48"/>
        <v>0</v>
      </c>
      <c r="U79" s="99"/>
      <c r="V79" s="99"/>
      <c r="W79" s="99"/>
      <c r="X79" s="89">
        <f t="shared" si="90"/>
        <v>0</v>
      </c>
      <c r="Y79" s="92"/>
      <c r="Z79" s="99"/>
      <c r="AA79" s="23">
        <f t="shared" si="49"/>
        <v>0</v>
      </c>
      <c r="AB79" s="23">
        <f t="shared" si="50"/>
        <v>0</v>
      </c>
      <c r="AC79" s="23">
        <f t="shared" si="51"/>
        <v>0</v>
      </c>
      <c r="AD79" s="99"/>
      <c r="AE79" s="99"/>
      <c r="AF79" s="99"/>
      <c r="AG79" s="89">
        <f t="shared" si="91"/>
        <v>0</v>
      </c>
      <c r="AH79" s="92"/>
      <c r="AI79" s="99"/>
      <c r="AJ79" s="23">
        <f t="shared" si="52"/>
        <v>0</v>
      </c>
      <c r="AK79" s="23">
        <f t="shared" si="53"/>
        <v>0</v>
      </c>
      <c r="AL79" s="23">
        <f t="shared" si="54"/>
        <v>0</v>
      </c>
      <c r="AM79" s="99"/>
      <c r="AN79" s="99"/>
      <c r="AO79" s="99"/>
      <c r="AP79" s="89">
        <f t="shared" si="92"/>
        <v>0</v>
      </c>
      <c r="AQ79" s="92"/>
      <c r="AR79" s="99"/>
      <c r="AS79" s="23">
        <f t="shared" si="55"/>
        <v>0</v>
      </c>
      <c r="AT79" s="23">
        <f t="shared" si="56"/>
        <v>0</v>
      </c>
      <c r="AU79" s="23">
        <f t="shared" si="57"/>
        <v>0</v>
      </c>
      <c r="AV79" s="99"/>
      <c r="AW79" s="99"/>
      <c r="AX79" s="99"/>
      <c r="AY79" s="89">
        <f t="shared" si="93"/>
        <v>0</v>
      </c>
      <c r="AZ79" s="92"/>
      <c r="BA79" s="99"/>
      <c r="BB79" s="23">
        <f t="shared" si="58"/>
        <v>0</v>
      </c>
      <c r="BC79" s="23">
        <f t="shared" si="59"/>
        <v>0</v>
      </c>
      <c r="BD79" s="23">
        <f t="shared" si="60"/>
        <v>0</v>
      </c>
      <c r="BE79" s="99"/>
      <c r="BF79" s="99"/>
      <c r="BG79" s="99"/>
      <c r="BH79" s="89">
        <f t="shared" si="94"/>
        <v>0</v>
      </c>
      <c r="BI79" s="92"/>
      <c r="BJ79" s="99"/>
      <c r="BK79" s="23">
        <f t="shared" si="61"/>
        <v>0</v>
      </c>
      <c r="BL79" s="23">
        <f t="shared" si="62"/>
        <v>0</v>
      </c>
      <c r="BM79" s="23">
        <f t="shared" si="63"/>
        <v>0</v>
      </c>
      <c r="BN79" s="99"/>
      <c r="BO79" s="99"/>
      <c r="BP79" s="99"/>
      <c r="BQ79" s="89">
        <f t="shared" si="95"/>
        <v>0</v>
      </c>
      <c r="BR79" s="92"/>
      <c r="BS79" s="99"/>
      <c r="BT79" s="23">
        <f t="shared" si="64"/>
        <v>0</v>
      </c>
      <c r="BU79" s="23">
        <f t="shared" si="65"/>
        <v>0</v>
      </c>
      <c r="BV79" s="23">
        <f t="shared" si="66"/>
        <v>0</v>
      </c>
      <c r="BW79" s="99"/>
      <c r="BX79" s="99"/>
      <c r="BY79" s="99"/>
      <c r="BZ79" s="89">
        <f t="shared" si="96"/>
        <v>0</v>
      </c>
      <c r="CA79" s="92"/>
      <c r="CB79" s="99"/>
      <c r="CC79" s="23">
        <f t="shared" si="67"/>
        <v>0</v>
      </c>
      <c r="CD79" s="23">
        <f t="shared" si="68"/>
        <v>0</v>
      </c>
      <c r="CE79" s="23">
        <f t="shared" si="69"/>
        <v>0</v>
      </c>
      <c r="CF79" s="99"/>
      <c r="CG79" s="99"/>
      <c r="CH79" s="99"/>
      <c r="CI79" s="89">
        <f t="shared" si="97"/>
        <v>0</v>
      </c>
      <c r="CJ79" s="92"/>
      <c r="CK79" s="99"/>
      <c r="CL79" s="23">
        <f t="shared" si="70"/>
        <v>0</v>
      </c>
      <c r="CM79" s="23">
        <f t="shared" si="71"/>
        <v>0</v>
      </c>
      <c r="CN79" s="23">
        <f t="shared" si="72"/>
        <v>0</v>
      </c>
      <c r="CO79" s="99"/>
      <c r="CP79" s="99"/>
      <c r="CQ79" s="99"/>
      <c r="CR79" s="89">
        <f t="shared" si="98"/>
        <v>0</v>
      </c>
      <c r="CS79" s="92"/>
      <c r="CT79" s="99"/>
      <c r="CU79" s="23">
        <f t="shared" si="73"/>
        <v>0</v>
      </c>
      <c r="CV79" s="23">
        <f t="shared" si="74"/>
        <v>0</v>
      </c>
      <c r="CW79" s="23">
        <f t="shared" si="75"/>
        <v>0</v>
      </c>
      <c r="CX79" s="99"/>
      <c r="CY79" s="99"/>
      <c r="CZ79" s="99"/>
      <c r="DA79" s="89">
        <f t="shared" si="99"/>
        <v>0</v>
      </c>
      <c r="DB79" s="92"/>
      <c r="DC79" s="99"/>
      <c r="DD79" s="23">
        <f t="shared" si="76"/>
        <v>0</v>
      </c>
      <c r="DE79" s="23">
        <f t="shared" si="77"/>
        <v>0</v>
      </c>
      <c r="DF79" s="23">
        <f t="shared" si="78"/>
        <v>0</v>
      </c>
      <c r="DG79" s="99"/>
      <c r="DH79" s="99"/>
      <c r="DI79" s="99"/>
      <c r="DJ79" s="89">
        <f t="shared" si="100"/>
        <v>0</v>
      </c>
      <c r="DK79" s="92"/>
      <c r="DL79" s="99"/>
      <c r="DM79" s="23">
        <f t="shared" si="79"/>
        <v>0</v>
      </c>
      <c r="DN79" s="23">
        <f t="shared" si="80"/>
        <v>0</v>
      </c>
      <c r="DO79" s="23">
        <f t="shared" si="81"/>
        <v>0</v>
      </c>
      <c r="DP79" s="99"/>
      <c r="DQ79" s="99"/>
      <c r="DR79" s="99"/>
      <c r="DS79" s="89">
        <f t="shared" si="101"/>
        <v>0</v>
      </c>
      <c r="DT79" s="92"/>
      <c r="DU79" s="99"/>
      <c r="DV79" s="23">
        <f t="shared" si="82"/>
        <v>0</v>
      </c>
      <c r="DW79" s="23">
        <f t="shared" si="83"/>
        <v>0</v>
      </c>
      <c r="DX79" s="23">
        <f t="shared" si="84"/>
        <v>0</v>
      </c>
      <c r="DY79" s="99"/>
      <c r="DZ79" s="99"/>
      <c r="EA79" s="99"/>
      <c r="EB79" s="89">
        <f t="shared" si="102"/>
        <v>0</v>
      </c>
      <c r="EC79" s="92"/>
      <c r="ED79" s="99"/>
      <c r="EE79" s="23">
        <f t="shared" si="87"/>
        <v>0</v>
      </c>
      <c r="EF79" s="23">
        <f t="shared" si="85"/>
        <v>0</v>
      </c>
      <c r="EG79" s="23">
        <f t="shared" si="86"/>
        <v>0</v>
      </c>
      <c r="EH79" s="99"/>
      <c r="EI79" s="99"/>
      <c r="EJ79" s="92"/>
      <c r="EK79" s="92"/>
      <c r="EL79" s="99"/>
      <c r="EM79" s="99"/>
      <c r="EN79" s="99"/>
      <c r="EO79" s="99"/>
      <c r="EP79" s="99"/>
      <c r="EQ79" s="92"/>
      <c r="ER79" s="92"/>
      <c r="ES79" s="99"/>
      <c r="ET79" s="99"/>
      <c r="EU79" s="99"/>
      <c r="EV79" s="99"/>
    </row>
    <row r="80" spans="1:154" ht="45" hidden="1" customHeight="1" x14ac:dyDescent="0.2">
      <c r="A80" s="24" t="str">
        <f>AX1</f>
        <v>Wettkampf 6</v>
      </c>
      <c r="B80" s="25">
        <f>AX64</f>
        <v>0</v>
      </c>
      <c r="C80" s="25">
        <f>BC64</f>
        <v>0</v>
      </c>
      <c r="D80" s="25"/>
      <c r="E80" s="26">
        <f t="shared" si="42"/>
        <v>0</v>
      </c>
      <c r="F80" s="20">
        <f t="shared" si="88"/>
        <v>0</v>
      </c>
      <c r="G80" s="22"/>
      <c r="H80" s="23"/>
      <c r="I80" s="23">
        <f t="shared" si="43"/>
        <v>0</v>
      </c>
      <c r="J80" s="23">
        <f t="shared" si="44"/>
        <v>0</v>
      </c>
      <c r="K80" s="23">
        <f t="shared" si="45"/>
        <v>0</v>
      </c>
      <c r="L80" s="23"/>
      <c r="M80" s="23"/>
      <c r="N80" s="23"/>
      <c r="O80" s="20">
        <f t="shared" si="89"/>
        <v>0</v>
      </c>
      <c r="P80" s="22"/>
      <c r="Q80" s="23"/>
      <c r="R80" s="23">
        <f t="shared" si="46"/>
        <v>0</v>
      </c>
      <c r="S80" s="23">
        <f t="shared" si="47"/>
        <v>0</v>
      </c>
      <c r="T80" s="23">
        <f t="shared" si="48"/>
        <v>0</v>
      </c>
      <c r="U80" s="23"/>
      <c r="V80" s="23"/>
      <c r="W80" s="23"/>
      <c r="X80" s="20">
        <f t="shared" si="90"/>
        <v>0</v>
      </c>
      <c r="Y80" s="22"/>
      <c r="Z80" s="23"/>
      <c r="AA80" s="23">
        <f t="shared" si="49"/>
        <v>0</v>
      </c>
      <c r="AB80" s="23">
        <f t="shared" si="50"/>
        <v>0</v>
      </c>
      <c r="AC80" s="23">
        <f t="shared" si="51"/>
        <v>0</v>
      </c>
      <c r="AD80" s="23"/>
      <c r="AE80" s="23"/>
      <c r="AF80" s="23"/>
      <c r="AG80" s="20">
        <f t="shared" si="91"/>
        <v>0</v>
      </c>
      <c r="AH80" s="22"/>
      <c r="AI80" s="23"/>
      <c r="AJ80" s="23">
        <f t="shared" si="52"/>
        <v>0</v>
      </c>
      <c r="AK80" s="23">
        <f t="shared" si="53"/>
        <v>0</v>
      </c>
      <c r="AL80" s="23">
        <f t="shared" si="54"/>
        <v>0</v>
      </c>
      <c r="AM80" s="23"/>
      <c r="AN80" s="23"/>
      <c r="AO80" s="23"/>
      <c r="AP80" s="20">
        <f t="shared" si="92"/>
        <v>0</v>
      </c>
      <c r="AQ80" s="22"/>
      <c r="AR80" s="23"/>
      <c r="AS80" s="23">
        <f t="shared" si="55"/>
        <v>0</v>
      </c>
      <c r="AT80" s="23">
        <f t="shared" si="56"/>
        <v>0</v>
      </c>
      <c r="AU80" s="23">
        <f t="shared" si="57"/>
        <v>0</v>
      </c>
      <c r="AV80" s="23"/>
      <c r="AW80" s="23"/>
      <c r="AX80" s="23"/>
      <c r="AY80" s="20">
        <f t="shared" si="93"/>
        <v>0</v>
      </c>
      <c r="AZ80" s="22"/>
      <c r="BA80" s="23"/>
      <c r="BB80" s="23">
        <f t="shared" si="58"/>
        <v>0</v>
      </c>
      <c r="BC80" s="23">
        <f t="shared" si="59"/>
        <v>0</v>
      </c>
      <c r="BD80" s="23">
        <f t="shared" si="60"/>
        <v>0</v>
      </c>
      <c r="BE80" s="23"/>
      <c r="BF80" s="23"/>
      <c r="BG80" s="23"/>
      <c r="BH80" s="20">
        <f t="shared" si="94"/>
        <v>0</v>
      </c>
      <c r="BI80" s="22"/>
      <c r="BJ80" s="23"/>
      <c r="BK80" s="23">
        <f t="shared" si="61"/>
        <v>0</v>
      </c>
      <c r="BL80" s="23">
        <f t="shared" si="62"/>
        <v>0</v>
      </c>
      <c r="BM80" s="23">
        <f t="shared" si="63"/>
        <v>0</v>
      </c>
      <c r="BN80" s="23"/>
      <c r="BO80" s="23"/>
      <c r="BP80" s="23"/>
      <c r="BQ80" s="20">
        <f t="shared" si="95"/>
        <v>0</v>
      </c>
      <c r="BR80" s="22"/>
      <c r="BS80" s="23"/>
      <c r="BT80" s="23">
        <f t="shared" si="64"/>
        <v>0</v>
      </c>
      <c r="BU80" s="23">
        <f t="shared" si="65"/>
        <v>0</v>
      </c>
      <c r="BV80" s="23">
        <f t="shared" si="66"/>
        <v>0</v>
      </c>
      <c r="BW80" s="23"/>
      <c r="BX80" s="23"/>
      <c r="BY80" s="23"/>
      <c r="BZ80" s="20">
        <f t="shared" si="96"/>
        <v>0</v>
      </c>
      <c r="CA80" s="22"/>
      <c r="CB80" s="23"/>
      <c r="CC80" s="23">
        <f t="shared" si="67"/>
        <v>0</v>
      </c>
      <c r="CD80" s="23">
        <f t="shared" si="68"/>
        <v>0</v>
      </c>
      <c r="CE80" s="23">
        <f t="shared" si="69"/>
        <v>0</v>
      </c>
      <c r="CF80" s="23"/>
      <c r="CG80" s="23"/>
      <c r="CH80" s="23"/>
      <c r="CI80" s="20">
        <f t="shared" si="97"/>
        <v>0</v>
      </c>
      <c r="CJ80" s="22"/>
      <c r="CK80" s="23"/>
      <c r="CL80" s="23">
        <f t="shared" si="70"/>
        <v>0</v>
      </c>
      <c r="CM80" s="23">
        <f t="shared" si="71"/>
        <v>0</v>
      </c>
      <c r="CN80" s="23">
        <f t="shared" si="72"/>
        <v>0</v>
      </c>
      <c r="CO80" s="23"/>
      <c r="CP80" s="23"/>
      <c r="CQ80" s="23"/>
      <c r="CR80" s="20">
        <f t="shared" si="98"/>
        <v>0</v>
      </c>
      <c r="CS80" s="22"/>
      <c r="CT80" s="23"/>
      <c r="CU80" s="23">
        <f t="shared" si="73"/>
        <v>0</v>
      </c>
      <c r="CV80" s="23">
        <f t="shared" si="74"/>
        <v>0</v>
      </c>
      <c r="CW80" s="23">
        <f t="shared" si="75"/>
        <v>0</v>
      </c>
      <c r="CX80" s="23"/>
      <c r="CY80" s="23"/>
      <c r="CZ80" s="23"/>
      <c r="DA80" s="20">
        <f t="shared" si="99"/>
        <v>0</v>
      </c>
      <c r="DB80" s="22"/>
      <c r="DC80" s="23"/>
      <c r="DD80" s="23">
        <f t="shared" si="76"/>
        <v>0</v>
      </c>
      <c r="DE80" s="23">
        <f t="shared" si="77"/>
        <v>0</v>
      </c>
      <c r="DF80" s="23">
        <f t="shared" si="78"/>
        <v>0</v>
      </c>
      <c r="DG80" s="23"/>
      <c r="DH80" s="23"/>
      <c r="DI80" s="23"/>
      <c r="DJ80" s="20">
        <f t="shared" si="100"/>
        <v>0</v>
      </c>
      <c r="DK80" s="22"/>
      <c r="DL80" s="23"/>
      <c r="DM80" s="23">
        <f t="shared" si="79"/>
        <v>0</v>
      </c>
      <c r="DN80" s="23">
        <f t="shared" si="80"/>
        <v>0</v>
      </c>
      <c r="DO80" s="23">
        <f t="shared" si="81"/>
        <v>0</v>
      </c>
      <c r="DP80" s="23"/>
      <c r="DQ80" s="23"/>
      <c r="DR80" s="23"/>
      <c r="DS80" s="20">
        <f t="shared" si="101"/>
        <v>0</v>
      </c>
      <c r="DT80" s="22"/>
      <c r="DU80" s="23"/>
      <c r="DV80" s="23">
        <f t="shared" si="82"/>
        <v>0</v>
      </c>
      <c r="DW80" s="23">
        <f t="shared" si="83"/>
        <v>0</v>
      </c>
      <c r="DX80" s="23">
        <f t="shared" si="84"/>
        <v>0</v>
      </c>
      <c r="DY80" s="23"/>
      <c r="DZ80" s="23"/>
      <c r="EA80" s="23"/>
      <c r="EB80" s="20">
        <f t="shared" si="102"/>
        <v>0</v>
      </c>
      <c r="EC80" s="22"/>
      <c r="ED80" s="23"/>
      <c r="EE80" s="23">
        <f t="shared" si="87"/>
        <v>0</v>
      </c>
      <c r="EF80" s="23">
        <f t="shared" si="85"/>
        <v>0</v>
      </c>
      <c r="EG80" s="23">
        <f t="shared" si="86"/>
        <v>0</v>
      </c>
      <c r="EH80" s="23"/>
      <c r="EI80" s="23"/>
      <c r="EJ80" s="22"/>
      <c r="EK80" s="22"/>
      <c r="EL80" s="23"/>
      <c r="EM80" s="23"/>
      <c r="EN80" s="23"/>
      <c r="EO80" s="23"/>
      <c r="EP80" s="23"/>
      <c r="EQ80" s="22"/>
      <c r="ER80" s="22"/>
      <c r="ES80" s="23"/>
      <c r="ET80" s="23"/>
      <c r="EU80" s="23"/>
      <c r="EV80" s="23"/>
    </row>
    <row r="81" spans="1:152" ht="26.25" hidden="1" customHeight="1" x14ac:dyDescent="0.2">
      <c r="A81" s="24" t="str">
        <f>BG1</f>
        <v>Wettkampf 7</v>
      </c>
      <c r="B81" s="25">
        <f>BG64</f>
        <v>0</v>
      </c>
      <c r="C81" s="25">
        <f>BL64</f>
        <v>0</v>
      </c>
      <c r="D81" s="25"/>
      <c r="E81" s="26">
        <f t="shared" si="42"/>
        <v>0</v>
      </c>
      <c r="F81" s="20">
        <f t="shared" si="88"/>
        <v>0</v>
      </c>
      <c r="G81" s="22"/>
      <c r="H81" s="23"/>
      <c r="I81" s="23">
        <f t="shared" si="43"/>
        <v>0</v>
      </c>
      <c r="J81" s="23">
        <f t="shared" si="44"/>
        <v>0</v>
      </c>
      <c r="K81" s="23">
        <f t="shared" si="45"/>
        <v>0</v>
      </c>
      <c r="L81" s="23"/>
      <c r="M81" s="23"/>
      <c r="N81" s="23"/>
      <c r="O81" s="20">
        <f t="shared" si="89"/>
        <v>0</v>
      </c>
      <c r="P81" s="22"/>
      <c r="Q81" s="23"/>
      <c r="R81" s="23">
        <f t="shared" si="46"/>
        <v>0</v>
      </c>
      <c r="S81" s="23">
        <f t="shared" si="47"/>
        <v>0</v>
      </c>
      <c r="T81" s="23">
        <f t="shared" si="48"/>
        <v>0</v>
      </c>
      <c r="U81" s="23"/>
      <c r="V81" s="23"/>
      <c r="W81" s="23"/>
      <c r="X81" s="20">
        <f t="shared" si="90"/>
        <v>0</v>
      </c>
      <c r="Y81" s="22"/>
      <c r="Z81" s="23"/>
      <c r="AA81" s="23">
        <f t="shared" si="49"/>
        <v>0</v>
      </c>
      <c r="AB81" s="23">
        <f t="shared" si="50"/>
        <v>0</v>
      </c>
      <c r="AC81" s="23">
        <f t="shared" si="51"/>
        <v>0</v>
      </c>
      <c r="AD81" s="23"/>
      <c r="AE81" s="23"/>
      <c r="AF81" s="23"/>
      <c r="AG81" s="20">
        <f t="shared" si="91"/>
        <v>0</v>
      </c>
      <c r="AH81" s="22"/>
      <c r="AI81" s="23"/>
      <c r="AJ81" s="23">
        <f t="shared" si="52"/>
        <v>0</v>
      </c>
      <c r="AK81" s="23">
        <f t="shared" si="53"/>
        <v>0</v>
      </c>
      <c r="AL81" s="23">
        <f t="shared" si="54"/>
        <v>0</v>
      </c>
      <c r="AM81" s="23"/>
      <c r="AN81" s="23"/>
      <c r="AO81" s="23"/>
      <c r="AP81" s="20">
        <f t="shared" si="92"/>
        <v>0</v>
      </c>
      <c r="AQ81" s="22"/>
      <c r="AR81" s="23"/>
      <c r="AS81" s="23">
        <f t="shared" si="55"/>
        <v>0</v>
      </c>
      <c r="AT81" s="23">
        <f t="shared" si="56"/>
        <v>0</v>
      </c>
      <c r="AU81" s="23">
        <f t="shared" si="57"/>
        <v>0</v>
      </c>
      <c r="AV81" s="23"/>
      <c r="AW81" s="23"/>
      <c r="AX81" s="23"/>
      <c r="AY81" s="20">
        <f t="shared" si="93"/>
        <v>0</v>
      </c>
      <c r="AZ81" s="22"/>
      <c r="BA81" s="23"/>
      <c r="BB81" s="23">
        <f t="shared" si="58"/>
        <v>0</v>
      </c>
      <c r="BC81" s="23">
        <f t="shared" si="59"/>
        <v>0</v>
      </c>
      <c r="BD81" s="23">
        <f t="shared" si="60"/>
        <v>0</v>
      </c>
      <c r="BE81" s="23"/>
      <c r="BF81" s="23"/>
      <c r="BG81" s="23"/>
      <c r="BH81" s="20">
        <f t="shared" si="94"/>
        <v>0</v>
      </c>
      <c r="BI81" s="22"/>
      <c r="BJ81" s="23"/>
      <c r="BK81" s="23">
        <f t="shared" si="61"/>
        <v>0</v>
      </c>
      <c r="BL81" s="23">
        <f t="shared" si="62"/>
        <v>0</v>
      </c>
      <c r="BM81" s="23">
        <f t="shared" si="63"/>
        <v>0</v>
      </c>
      <c r="BN81" s="23"/>
      <c r="BO81" s="23"/>
      <c r="BP81" s="23"/>
      <c r="BQ81" s="20">
        <f t="shared" si="95"/>
        <v>0</v>
      </c>
      <c r="BR81" s="22"/>
      <c r="BS81" s="23"/>
      <c r="BT81" s="23">
        <f t="shared" si="64"/>
        <v>0</v>
      </c>
      <c r="BU81" s="23">
        <f t="shared" si="65"/>
        <v>0</v>
      </c>
      <c r="BV81" s="23">
        <f t="shared" si="66"/>
        <v>0</v>
      </c>
      <c r="BW81" s="23"/>
      <c r="BX81" s="23"/>
      <c r="BY81" s="23"/>
      <c r="BZ81" s="20">
        <f t="shared" si="96"/>
        <v>0</v>
      </c>
      <c r="CA81" s="22"/>
      <c r="CB81" s="23"/>
      <c r="CC81" s="23">
        <f t="shared" si="67"/>
        <v>0</v>
      </c>
      <c r="CD81" s="23">
        <f t="shared" si="68"/>
        <v>0</v>
      </c>
      <c r="CE81" s="23">
        <f t="shared" si="69"/>
        <v>0</v>
      </c>
      <c r="CF81" s="23"/>
      <c r="CG81" s="23"/>
      <c r="CH81" s="23"/>
      <c r="CI81" s="20">
        <f t="shared" si="97"/>
        <v>0</v>
      </c>
      <c r="CJ81" s="22"/>
      <c r="CK81" s="23"/>
      <c r="CL81" s="23">
        <f t="shared" si="70"/>
        <v>0</v>
      </c>
      <c r="CM81" s="23">
        <f t="shared" si="71"/>
        <v>0</v>
      </c>
      <c r="CN81" s="23">
        <f t="shared" si="72"/>
        <v>0</v>
      </c>
      <c r="CO81" s="23"/>
      <c r="CP81" s="23"/>
      <c r="CQ81" s="23"/>
      <c r="CR81" s="20">
        <f t="shared" si="98"/>
        <v>0</v>
      </c>
      <c r="CS81" s="22"/>
      <c r="CT81" s="23"/>
      <c r="CU81" s="23">
        <f t="shared" si="73"/>
        <v>0</v>
      </c>
      <c r="CV81" s="23">
        <f t="shared" si="74"/>
        <v>0</v>
      </c>
      <c r="CW81" s="23">
        <f t="shared" si="75"/>
        <v>0</v>
      </c>
      <c r="CX81" s="23"/>
      <c r="CY81" s="23"/>
      <c r="CZ81" s="23"/>
      <c r="DA81" s="20">
        <f t="shared" si="99"/>
        <v>0</v>
      </c>
      <c r="DB81" s="22"/>
      <c r="DC81" s="23"/>
      <c r="DD81" s="23">
        <f t="shared" si="76"/>
        <v>0</v>
      </c>
      <c r="DE81" s="23">
        <f t="shared" si="77"/>
        <v>0</v>
      </c>
      <c r="DF81" s="23">
        <f t="shared" si="78"/>
        <v>0</v>
      </c>
      <c r="DG81" s="23"/>
      <c r="DH81" s="23"/>
      <c r="DI81" s="23"/>
      <c r="DJ81" s="20">
        <f t="shared" si="100"/>
        <v>0</v>
      </c>
      <c r="DK81" s="22"/>
      <c r="DL81" s="23"/>
      <c r="DM81" s="23">
        <f t="shared" si="79"/>
        <v>0</v>
      </c>
      <c r="DN81" s="23">
        <f t="shared" si="80"/>
        <v>0</v>
      </c>
      <c r="DO81" s="23">
        <f t="shared" si="81"/>
        <v>0</v>
      </c>
      <c r="DP81" s="23"/>
      <c r="DQ81" s="23"/>
      <c r="DR81" s="23"/>
      <c r="DS81" s="20">
        <f t="shared" si="101"/>
        <v>0</v>
      </c>
      <c r="DT81" s="22"/>
      <c r="DU81" s="23"/>
      <c r="DV81" s="23">
        <f t="shared" si="82"/>
        <v>0</v>
      </c>
      <c r="DW81" s="23">
        <f t="shared" si="83"/>
        <v>0</v>
      </c>
      <c r="DX81" s="23">
        <f t="shared" si="84"/>
        <v>0</v>
      </c>
      <c r="DY81" s="23"/>
      <c r="DZ81" s="23"/>
      <c r="EA81" s="23"/>
      <c r="EB81" s="20">
        <f t="shared" si="102"/>
        <v>0</v>
      </c>
      <c r="EC81" s="22"/>
      <c r="ED81" s="23"/>
      <c r="EE81" s="23">
        <f t="shared" si="87"/>
        <v>0</v>
      </c>
      <c r="EF81" s="23">
        <f t="shared" si="85"/>
        <v>0</v>
      </c>
      <c r="EG81" s="23">
        <f t="shared" si="86"/>
        <v>0</v>
      </c>
      <c r="EH81" s="23"/>
      <c r="EI81" s="23"/>
      <c r="EJ81" s="22"/>
      <c r="EK81" s="22"/>
      <c r="EL81" s="23"/>
      <c r="EM81" s="23"/>
      <c r="EN81" s="23"/>
      <c r="EO81" s="23"/>
      <c r="EP81" s="23"/>
      <c r="EQ81" s="22"/>
      <c r="ER81" s="22"/>
      <c r="ES81" s="23"/>
      <c r="ET81" s="23"/>
      <c r="EU81" s="23"/>
      <c r="EV81" s="23"/>
    </row>
    <row r="82" spans="1:152" ht="29.25" hidden="1" customHeight="1" x14ac:dyDescent="0.2">
      <c r="A82" s="24" t="str">
        <f>BP1</f>
        <v>Wettkampf 8</v>
      </c>
      <c r="B82" s="25">
        <f>BP64</f>
        <v>0</v>
      </c>
      <c r="C82" s="25">
        <f>BU64</f>
        <v>0</v>
      </c>
      <c r="D82" s="25"/>
      <c r="E82" s="26">
        <f t="shared" si="42"/>
        <v>0</v>
      </c>
      <c r="F82" s="20">
        <f t="shared" si="88"/>
        <v>0</v>
      </c>
      <c r="G82" s="22"/>
      <c r="H82" s="23"/>
      <c r="I82" s="23">
        <f t="shared" si="43"/>
        <v>0</v>
      </c>
      <c r="J82" s="23">
        <f t="shared" si="44"/>
        <v>0</v>
      </c>
      <c r="K82" s="23">
        <f t="shared" si="45"/>
        <v>0</v>
      </c>
      <c r="L82" s="23"/>
      <c r="M82" s="23"/>
      <c r="N82" s="23"/>
      <c r="O82" s="20">
        <f t="shared" si="89"/>
        <v>0</v>
      </c>
      <c r="P82" s="22"/>
      <c r="Q82" s="23"/>
      <c r="R82" s="23">
        <f t="shared" si="46"/>
        <v>0</v>
      </c>
      <c r="S82" s="23">
        <f t="shared" si="47"/>
        <v>0</v>
      </c>
      <c r="T82" s="23">
        <f t="shared" si="48"/>
        <v>0</v>
      </c>
      <c r="U82" s="23"/>
      <c r="V82" s="23"/>
      <c r="W82" s="23"/>
      <c r="X82" s="20">
        <f t="shared" si="90"/>
        <v>0</v>
      </c>
      <c r="Y82" s="22"/>
      <c r="Z82" s="23"/>
      <c r="AA82" s="23">
        <f t="shared" si="49"/>
        <v>0</v>
      </c>
      <c r="AB82" s="23">
        <f t="shared" si="50"/>
        <v>0</v>
      </c>
      <c r="AC82" s="23">
        <f t="shared" si="51"/>
        <v>0</v>
      </c>
      <c r="AD82" s="23"/>
      <c r="AE82" s="23"/>
      <c r="AF82" s="23"/>
      <c r="AG82" s="20">
        <f t="shared" si="91"/>
        <v>0</v>
      </c>
      <c r="AH82" s="22"/>
      <c r="AI82" s="23"/>
      <c r="AJ82" s="23">
        <f t="shared" si="52"/>
        <v>0</v>
      </c>
      <c r="AK82" s="23">
        <f t="shared" si="53"/>
        <v>0</v>
      </c>
      <c r="AL82" s="23">
        <f t="shared" si="54"/>
        <v>0</v>
      </c>
      <c r="AM82" s="23"/>
      <c r="AN82" s="23"/>
      <c r="AO82" s="23"/>
      <c r="AP82" s="20">
        <f t="shared" si="92"/>
        <v>0</v>
      </c>
      <c r="AQ82" s="22"/>
      <c r="AR82" s="23"/>
      <c r="AS82" s="23">
        <f t="shared" si="55"/>
        <v>0</v>
      </c>
      <c r="AT82" s="23">
        <f t="shared" si="56"/>
        <v>0</v>
      </c>
      <c r="AU82" s="23">
        <f t="shared" si="57"/>
        <v>0</v>
      </c>
      <c r="AV82" s="23"/>
      <c r="AW82" s="23"/>
      <c r="AX82" s="23"/>
      <c r="AY82" s="20">
        <f t="shared" si="93"/>
        <v>0</v>
      </c>
      <c r="AZ82" s="22"/>
      <c r="BA82" s="23"/>
      <c r="BB82" s="23">
        <f t="shared" si="58"/>
        <v>0</v>
      </c>
      <c r="BC82" s="23">
        <f t="shared" si="59"/>
        <v>0</v>
      </c>
      <c r="BD82" s="23">
        <f t="shared" si="60"/>
        <v>0</v>
      </c>
      <c r="BE82" s="23"/>
      <c r="BF82" s="23"/>
      <c r="BG82" s="23"/>
      <c r="BH82" s="20">
        <f t="shared" si="94"/>
        <v>0</v>
      </c>
      <c r="BI82" s="22"/>
      <c r="BJ82" s="23"/>
      <c r="BK82" s="23">
        <f t="shared" si="61"/>
        <v>0</v>
      </c>
      <c r="BL82" s="23">
        <f t="shared" si="62"/>
        <v>0</v>
      </c>
      <c r="BM82" s="23">
        <f t="shared" si="63"/>
        <v>0</v>
      </c>
      <c r="BN82" s="23"/>
      <c r="BO82" s="23"/>
      <c r="BP82" s="23"/>
      <c r="BQ82" s="20">
        <f t="shared" si="95"/>
        <v>0</v>
      </c>
      <c r="BR82" s="22"/>
      <c r="BS82" s="23"/>
      <c r="BT82" s="23">
        <f t="shared" si="64"/>
        <v>0</v>
      </c>
      <c r="BU82" s="23">
        <f t="shared" si="65"/>
        <v>0</v>
      </c>
      <c r="BV82" s="23">
        <f t="shared" si="66"/>
        <v>0</v>
      </c>
      <c r="BW82" s="23"/>
      <c r="BX82" s="23"/>
      <c r="BY82" s="23"/>
      <c r="BZ82" s="20">
        <f t="shared" si="96"/>
        <v>0</v>
      </c>
      <c r="CA82" s="22"/>
      <c r="CB82" s="23"/>
      <c r="CC82" s="23">
        <f t="shared" si="67"/>
        <v>0</v>
      </c>
      <c r="CD82" s="23">
        <f t="shared" si="68"/>
        <v>0</v>
      </c>
      <c r="CE82" s="23">
        <f t="shared" si="69"/>
        <v>0</v>
      </c>
      <c r="CF82" s="23"/>
      <c r="CG82" s="23"/>
      <c r="CH82" s="23"/>
      <c r="CI82" s="20">
        <f t="shared" si="97"/>
        <v>0</v>
      </c>
      <c r="CJ82" s="22"/>
      <c r="CK82" s="23"/>
      <c r="CL82" s="23">
        <f t="shared" si="70"/>
        <v>0</v>
      </c>
      <c r="CM82" s="23">
        <f t="shared" si="71"/>
        <v>0</v>
      </c>
      <c r="CN82" s="23">
        <f t="shared" si="72"/>
        <v>0</v>
      </c>
      <c r="CO82" s="23"/>
      <c r="CP82" s="23"/>
      <c r="CQ82" s="23"/>
      <c r="CR82" s="20">
        <f t="shared" si="98"/>
        <v>0</v>
      </c>
      <c r="CS82" s="22"/>
      <c r="CT82" s="23"/>
      <c r="CU82" s="23">
        <f t="shared" si="73"/>
        <v>0</v>
      </c>
      <c r="CV82" s="23">
        <f t="shared" si="74"/>
        <v>0</v>
      </c>
      <c r="CW82" s="23">
        <f t="shared" si="75"/>
        <v>0</v>
      </c>
      <c r="CX82" s="23"/>
      <c r="CY82" s="23"/>
      <c r="CZ82" s="23"/>
      <c r="DA82" s="20">
        <f t="shared" si="99"/>
        <v>0</v>
      </c>
      <c r="DB82" s="22"/>
      <c r="DC82" s="23"/>
      <c r="DD82" s="23">
        <f t="shared" si="76"/>
        <v>0</v>
      </c>
      <c r="DE82" s="23">
        <f t="shared" si="77"/>
        <v>0</v>
      </c>
      <c r="DF82" s="23">
        <f t="shared" si="78"/>
        <v>0</v>
      </c>
      <c r="DG82" s="23"/>
      <c r="DH82" s="23"/>
      <c r="DI82" s="23"/>
      <c r="DJ82" s="20">
        <f t="shared" si="100"/>
        <v>0</v>
      </c>
      <c r="DK82" s="22"/>
      <c r="DL82" s="23"/>
      <c r="DM82" s="23">
        <f t="shared" si="79"/>
        <v>0</v>
      </c>
      <c r="DN82" s="23">
        <f t="shared" si="80"/>
        <v>0</v>
      </c>
      <c r="DO82" s="23">
        <f t="shared" si="81"/>
        <v>0</v>
      </c>
      <c r="DP82" s="23"/>
      <c r="DQ82" s="23"/>
      <c r="DR82" s="23"/>
      <c r="DS82" s="20">
        <f t="shared" si="101"/>
        <v>0</v>
      </c>
      <c r="DT82" s="22"/>
      <c r="DU82" s="23"/>
      <c r="DV82" s="23">
        <f t="shared" si="82"/>
        <v>0</v>
      </c>
      <c r="DW82" s="23">
        <f t="shared" si="83"/>
        <v>0</v>
      </c>
      <c r="DX82" s="23">
        <f t="shared" si="84"/>
        <v>0</v>
      </c>
      <c r="DY82" s="23"/>
      <c r="DZ82" s="23"/>
      <c r="EA82" s="23"/>
      <c r="EB82" s="20">
        <f t="shared" si="102"/>
        <v>0</v>
      </c>
      <c r="EC82" s="22"/>
      <c r="ED82" s="23"/>
      <c r="EE82" s="23">
        <f t="shared" si="87"/>
        <v>0</v>
      </c>
      <c r="EF82" s="23">
        <f t="shared" si="85"/>
        <v>0</v>
      </c>
      <c r="EG82" s="23">
        <f t="shared" si="86"/>
        <v>0</v>
      </c>
      <c r="EH82" s="23"/>
      <c r="EI82" s="23"/>
      <c r="EJ82" s="22"/>
      <c r="EK82" s="22"/>
      <c r="EL82" s="23"/>
      <c r="EM82" s="23"/>
      <c r="EN82" s="23"/>
      <c r="EO82" s="23"/>
      <c r="EP82" s="23"/>
      <c r="EQ82" s="22"/>
      <c r="ER82" s="22"/>
      <c r="ES82" s="23"/>
      <c r="ET82" s="23"/>
      <c r="EU82" s="23"/>
      <c r="EV82" s="23"/>
    </row>
    <row r="83" spans="1:152" ht="35.25" hidden="1" customHeight="1" x14ac:dyDescent="0.2">
      <c r="A83" s="24" t="str">
        <f>BY1</f>
        <v>Wettkampf 9</v>
      </c>
      <c r="B83" s="25">
        <f>BY64</f>
        <v>0</v>
      </c>
      <c r="C83" s="25">
        <f>CD64</f>
        <v>0</v>
      </c>
      <c r="D83" s="25"/>
      <c r="E83" s="26">
        <f t="shared" si="42"/>
        <v>0</v>
      </c>
      <c r="F83" s="20">
        <f t="shared" si="88"/>
        <v>0</v>
      </c>
      <c r="G83" s="22"/>
      <c r="H83" s="23"/>
      <c r="I83" s="23">
        <f t="shared" si="43"/>
        <v>0</v>
      </c>
      <c r="J83" s="23">
        <f t="shared" si="44"/>
        <v>0</v>
      </c>
      <c r="K83" s="23">
        <f t="shared" si="45"/>
        <v>0</v>
      </c>
      <c r="L83" s="23"/>
      <c r="M83" s="23"/>
      <c r="N83" s="23"/>
      <c r="O83" s="20">
        <f t="shared" si="89"/>
        <v>0</v>
      </c>
      <c r="P83" s="22"/>
      <c r="Q83" s="23"/>
      <c r="R83" s="23">
        <f t="shared" si="46"/>
        <v>0</v>
      </c>
      <c r="S83" s="23">
        <f t="shared" si="47"/>
        <v>0</v>
      </c>
      <c r="T83" s="23">
        <f t="shared" si="48"/>
        <v>0</v>
      </c>
      <c r="U83" s="23"/>
      <c r="V83" s="23"/>
      <c r="W83" s="23"/>
      <c r="X83" s="20">
        <f t="shared" si="90"/>
        <v>0</v>
      </c>
      <c r="Y83" s="22"/>
      <c r="Z83" s="23"/>
      <c r="AA83" s="23">
        <f t="shared" si="49"/>
        <v>0</v>
      </c>
      <c r="AB83" s="23">
        <f t="shared" si="50"/>
        <v>0</v>
      </c>
      <c r="AC83" s="23">
        <f t="shared" si="51"/>
        <v>0</v>
      </c>
      <c r="AD83" s="23"/>
      <c r="AE83" s="23"/>
      <c r="AF83" s="23"/>
      <c r="AG83" s="20">
        <f t="shared" si="91"/>
        <v>0</v>
      </c>
      <c r="AH83" s="22"/>
      <c r="AI83" s="23"/>
      <c r="AJ83" s="23">
        <f t="shared" si="52"/>
        <v>0</v>
      </c>
      <c r="AK83" s="23">
        <f t="shared" si="53"/>
        <v>0</v>
      </c>
      <c r="AL83" s="23">
        <f t="shared" si="54"/>
        <v>0</v>
      </c>
      <c r="AM83" s="23"/>
      <c r="AN83" s="23"/>
      <c r="AO83" s="23"/>
      <c r="AP83" s="20">
        <f t="shared" si="92"/>
        <v>0</v>
      </c>
      <c r="AQ83" s="22"/>
      <c r="AR83" s="23"/>
      <c r="AS83" s="23">
        <f t="shared" si="55"/>
        <v>0</v>
      </c>
      <c r="AT83" s="23">
        <f t="shared" si="56"/>
        <v>0</v>
      </c>
      <c r="AU83" s="23">
        <f t="shared" si="57"/>
        <v>0</v>
      </c>
      <c r="AV83" s="23"/>
      <c r="AW83" s="23"/>
      <c r="AX83" s="23"/>
      <c r="AY83" s="20">
        <f t="shared" si="93"/>
        <v>0</v>
      </c>
      <c r="AZ83" s="22"/>
      <c r="BA83" s="23"/>
      <c r="BB83" s="23">
        <f t="shared" si="58"/>
        <v>0</v>
      </c>
      <c r="BC83" s="23">
        <f t="shared" si="59"/>
        <v>0</v>
      </c>
      <c r="BD83" s="23">
        <f t="shared" si="60"/>
        <v>0</v>
      </c>
      <c r="BE83" s="23"/>
      <c r="BF83" s="23"/>
      <c r="BG83" s="23"/>
      <c r="BH83" s="20">
        <f t="shared" si="94"/>
        <v>0</v>
      </c>
      <c r="BI83" s="22"/>
      <c r="BJ83" s="23"/>
      <c r="BK83" s="23">
        <f t="shared" si="61"/>
        <v>0</v>
      </c>
      <c r="BL83" s="23">
        <f t="shared" si="62"/>
        <v>0</v>
      </c>
      <c r="BM83" s="23">
        <f t="shared" si="63"/>
        <v>0</v>
      </c>
      <c r="BN83" s="23"/>
      <c r="BO83" s="23"/>
      <c r="BP83" s="23"/>
      <c r="BQ83" s="20">
        <f t="shared" si="95"/>
        <v>0</v>
      </c>
      <c r="BR83" s="22"/>
      <c r="BS83" s="23"/>
      <c r="BT83" s="23">
        <f t="shared" si="64"/>
        <v>0</v>
      </c>
      <c r="BU83" s="23">
        <f t="shared" si="65"/>
        <v>0</v>
      </c>
      <c r="BV83" s="23">
        <f t="shared" si="66"/>
        <v>0</v>
      </c>
      <c r="BW83" s="23"/>
      <c r="BX83" s="23"/>
      <c r="BY83" s="23"/>
      <c r="BZ83" s="20">
        <f t="shared" si="96"/>
        <v>0</v>
      </c>
      <c r="CA83" s="22"/>
      <c r="CB83" s="23"/>
      <c r="CC83" s="23">
        <f t="shared" si="67"/>
        <v>0</v>
      </c>
      <c r="CD83" s="23">
        <f t="shared" si="68"/>
        <v>0</v>
      </c>
      <c r="CE83" s="23">
        <f t="shared" si="69"/>
        <v>0</v>
      </c>
      <c r="CF83" s="23"/>
      <c r="CG83" s="23"/>
      <c r="CH83" s="23"/>
      <c r="CI83" s="20">
        <f t="shared" si="97"/>
        <v>0</v>
      </c>
      <c r="CJ83" s="22"/>
      <c r="CK83" s="23"/>
      <c r="CL83" s="23">
        <f t="shared" si="70"/>
        <v>0</v>
      </c>
      <c r="CM83" s="23">
        <f t="shared" si="71"/>
        <v>0</v>
      </c>
      <c r="CN83" s="23">
        <f t="shared" si="72"/>
        <v>0</v>
      </c>
      <c r="CO83" s="23"/>
      <c r="CP83" s="23"/>
      <c r="CQ83" s="23"/>
      <c r="CR83" s="20">
        <f t="shared" si="98"/>
        <v>0</v>
      </c>
      <c r="CS83" s="22"/>
      <c r="CT83" s="23"/>
      <c r="CU83" s="23">
        <f t="shared" si="73"/>
        <v>0</v>
      </c>
      <c r="CV83" s="23">
        <f t="shared" si="74"/>
        <v>0</v>
      </c>
      <c r="CW83" s="23">
        <f t="shared" si="75"/>
        <v>0</v>
      </c>
      <c r="CX83" s="23"/>
      <c r="CY83" s="23"/>
      <c r="CZ83" s="23"/>
      <c r="DA83" s="20">
        <f t="shared" si="99"/>
        <v>0</v>
      </c>
      <c r="DB83" s="22"/>
      <c r="DC83" s="23"/>
      <c r="DD83" s="23">
        <f t="shared" si="76"/>
        <v>0</v>
      </c>
      <c r="DE83" s="23">
        <f t="shared" si="77"/>
        <v>0</v>
      </c>
      <c r="DF83" s="23">
        <f t="shared" si="78"/>
        <v>0</v>
      </c>
      <c r="DG83" s="23"/>
      <c r="DH83" s="23"/>
      <c r="DI83" s="23"/>
      <c r="DJ83" s="20">
        <f t="shared" si="100"/>
        <v>0</v>
      </c>
      <c r="DK83" s="22"/>
      <c r="DL83" s="23"/>
      <c r="DM83" s="23">
        <f t="shared" si="79"/>
        <v>0</v>
      </c>
      <c r="DN83" s="23">
        <f t="shared" si="80"/>
        <v>0</v>
      </c>
      <c r="DO83" s="23">
        <f t="shared" si="81"/>
        <v>0</v>
      </c>
      <c r="DP83" s="23"/>
      <c r="DQ83" s="23"/>
      <c r="DR83" s="23"/>
      <c r="DS83" s="20">
        <f t="shared" si="101"/>
        <v>0</v>
      </c>
      <c r="DT83" s="22"/>
      <c r="DU83" s="23"/>
      <c r="DV83" s="23">
        <f t="shared" si="82"/>
        <v>0</v>
      </c>
      <c r="DW83" s="23">
        <f t="shared" si="83"/>
        <v>0</v>
      </c>
      <c r="DX83" s="23">
        <f t="shared" si="84"/>
        <v>0</v>
      </c>
      <c r="DY83" s="23"/>
      <c r="DZ83" s="23"/>
      <c r="EA83" s="23"/>
      <c r="EB83" s="20">
        <f t="shared" si="102"/>
        <v>0</v>
      </c>
      <c r="EC83" s="22"/>
      <c r="ED83" s="23"/>
      <c r="EE83" s="23">
        <f t="shared" si="87"/>
        <v>0</v>
      </c>
      <c r="EF83" s="23">
        <f t="shared" si="85"/>
        <v>0</v>
      </c>
      <c r="EG83" s="23">
        <f t="shared" si="86"/>
        <v>0</v>
      </c>
      <c r="EH83" s="23"/>
      <c r="EI83" s="23"/>
      <c r="EJ83" s="22"/>
      <c r="EK83" s="22"/>
      <c r="EL83" s="23"/>
      <c r="EM83" s="23"/>
      <c r="EN83" s="23"/>
      <c r="EO83" s="23"/>
      <c r="EP83" s="23"/>
      <c r="EQ83" s="22"/>
      <c r="ER83" s="22"/>
      <c r="ES83" s="23"/>
      <c r="ET83" s="23"/>
      <c r="EU83" s="23"/>
      <c r="EV83" s="23"/>
    </row>
    <row r="84" spans="1:152" ht="30.75" hidden="1" customHeight="1" x14ac:dyDescent="0.2">
      <c r="A84" s="24" t="str">
        <f>CH1</f>
        <v>Wettkampf 10</v>
      </c>
      <c r="B84" s="25">
        <f>CH64</f>
        <v>0</v>
      </c>
      <c r="C84" s="25">
        <f>CM64</f>
        <v>0</v>
      </c>
      <c r="D84" s="25"/>
      <c r="E84" s="26">
        <f t="shared" si="42"/>
        <v>0</v>
      </c>
      <c r="F84" s="20">
        <f t="shared" si="88"/>
        <v>0</v>
      </c>
      <c r="G84" s="22"/>
      <c r="H84" s="23"/>
      <c r="I84" s="23">
        <f t="shared" si="43"/>
        <v>0</v>
      </c>
      <c r="J84" s="23">
        <f t="shared" si="44"/>
        <v>0</v>
      </c>
      <c r="K84" s="23">
        <f t="shared" si="45"/>
        <v>0</v>
      </c>
      <c r="L84" s="23"/>
      <c r="M84" s="23"/>
      <c r="N84" s="23"/>
      <c r="O84" s="20">
        <f t="shared" si="89"/>
        <v>0</v>
      </c>
      <c r="P84" s="22"/>
      <c r="Q84" s="23"/>
      <c r="R84" s="23">
        <f t="shared" si="46"/>
        <v>0</v>
      </c>
      <c r="S84" s="23">
        <f t="shared" si="47"/>
        <v>0</v>
      </c>
      <c r="T84" s="23">
        <f t="shared" si="48"/>
        <v>0</v>
      </c>
      <c r="U84" s="23"/>
      <c r="V84" s="23"/>
      <c r="W84" s="23"/>
      <c r="X84" s="20">
        <f t="shared" si="90"/>
        <v>0</v>
      </c>
      <c r="Y84" s="22"/>
      <c r="Z84" s="23"/>
      <c r="AA84" s="23">
        <f t="shared" si="49"/>
        <v>0</v>
      </c>
      <c r="AB84" s="23">
        <f t="shared" si="50"/>
        <v>0</v>
      </c>
      <c r="AC84" s="23">
        <f t="shared" si="51"/>
        <v>0</v>
      </c>
      <c r="AD84" s="23"/>
      <c r="AE84" s="23"/>
      <c r="AF84" s="23"/>
      <c r="AG84" s="20">
        <f t="shared" si="91"/>
        <v>0</v>
      </c>
      <c r="AH84" s="22"/>
      <c r="AI84" s="23"/>
      <c r="AJ84" s="23">
        <f t="shared" si="52"/>
        <v>0</v>
      </c>
      <c r="AK84" s="23">
        <f t="shared" si="53"/>
        <v>0</v>
      </c>
      <c r="AL84" s="23">
        <f t="shared" si="54"/>
        <v>0</v>
      </c>
      <c r="AM84" s="23"/>
      <c r="AN84" s="23"/>
      <c r="AO84" s="23"/>
      <c r="AP84" s="20">
        <f t="shared" si="92"/>
        <v>0</v>
      </c>
      <c r="AQ84" s="22"/>
      <c r="AR84" s="23"/>
      <c r="AS84" s="23">
        <f t="shared" si="55"/>
        <v>0</v>
      </c>
      <c r="AT84" s="23">
        <f t="shared" si="56"/>
        <v>0</v>
      </c>
      <c r="AU84" s="23">
        <f t="shared" si="57"/>
        <v>0</v>
      </c>
      <c r="AV84" s="23"/>
      <c r="AW84" s="23"/>
      <c r="AX84" s="23"/>
      <c r="AY84" s="20">
        <f t="shared" si="93"/>
        <v>0</v>
      </c>
      <c r="AZ84" s="22"/>
      <c r="BA84" s="23"/>
      <c r="BB84" s="23">
        <f t="shared" si="58"/>
        <v>0</v>
      </c>
      <c r="BC84" s="23">
        <f t="shared" si="59"/>
        <v>0</v>
      </c>
      <c r="BD84" s="23">
        <f t="shared" si="60"/>
        <v>0</v>
      </c>
      <c r="BE84" s="23"/>
      <c r="BF84" s="23"/>
      <c r="BG84" s="23"/>
      <c r="BH84" s="20">
        <f t="shared" si="94"/>
        <v>0</v>
      </c>
      <c r="BI84" s="22"/>
      <c r="BJ84" s="23"/>
      <c r="BK84" s="23">
        <f t="shared" si="61"/>
        <v>0</v>
      </c>
      <c r="BL84" s="23">
        <f t="shared" si="62"/>
        <v>0</v>
      </c>
      <c r="BM84" s="23">
        <f t="shared" si="63"/>
        <v>0</v>
      </c>
      <c r="BN84" s="23"/>
      <c r="BO84" s="23"/>
      <c r="BP84" s="23"/>
      <c r="BQ84" s="20">
        <f t="shared" si="95"/>
        <v>0</v>
      </c>
      <c r="BR84" s="22"/>
      <c r="BS84" s="23"/>
      <c r="BT84" s="23">
        <f t="shared" si="64"/>
        <v>0</v>
      </c>
      <c r="BU84" s="23">
        <f t="shared" si="65"/>
        <v>0</v>
      </c>
      <c r="BV84" s="23">
        <f t="shared" si="66"/>
        <v>0</v>
      </c>
      <c r="BW84" s="23"/>
      <c r="BX84" s="23"/>
      <c r="BY84" s="23"/>
      <c r="BZ84" s="20">
        <f t="shared" si="96"/>
        <v>0</v>
      </c>
      <c r="CA84" s="22"/>
      <c r="CB84" s="23"/>
      <c r="CC84" s="23">
        <f t="shared" si="67"/>
        <v>0</v>
      </c>
      <c r="CD84" s="23">
        <f t="shared" si="68"/>
        <v>0</v>
      </c>
      <c r="CE84" s="23">
        <f t="shared" si="69"/>
        <v>0</v>
      </c>
      <c r="CF84" s="23"/>
      <c r="CG84" s="23"/>
      <c r="CH84" s="23"/>
      <c r="CI84" s="20">
        <f t="shared" si="97"/>
        <v>0</v>
      </c>
      <c r="CJ84" s="22"/>
      <c r="CK84" s="23"/>
      <c r="CL84" s="23">
        <f t="shared" si="70"/>
        <v>0</v>
      </c>
      <c r="CM84" s="23">
        <f t="shared" si="71"/>
        <v>0</v>
      </c>
      <c r="CN84" s="23">
        <f t="shared" si="72"/>
        <v>0</v>
      </c>
      <c r="CO84" s="23"/>
      <c r="CP84" s="23"/>
      <c r="CQ84" s="23"/>
      <c r="CR84" s="20">
        <f t="shared" si="98"/>
        <v>0</v>
      </c>
      <c r="CS84" s="22"/>
      <c r="CT84" s="23"/>
      <c r="CU84" s="23">
        <f t="shared" si="73"/>
        <v>0</v>
      </c>
      <c r="CV84" s="23">
        <f t="shared" si="74"/>
        <v>0</v>
      </c>
      <c r="CW84" s="23">
        <f t="shared" si="75"/>
        <v>0</v>
      </c>
      <c r="CX84" s="23"/>
      <c r="CY84" s="23"/>
      <c r="CZ84" s="23"/>
      <c r="DA84" s="20">
        <f t="shared" si="99"/>
        <v>0</v>
      </c>
      <c r="DB84" s="22"/>
      <c r="DC84" s="23"/>
      <c r="DD84" s="23">
        <f t="shared" si="76"/>
        <v>0</v>
      </c>
      <c r="DE84" s="23">
        <f t="shared" si="77"/>
        <v>0</v>
      </c>
      <c r="DF84" s="23">
        <f t="shared" si="78"/>
        <v>0</v>
      </c>
      <c r="DG84" s="23"/>
      <c r="DH84" s="23"/>
      <c r="DI84" s="23"/>
      <c r="DJ84" s="20">
        <f t="shared" si="100"/>
        <v>0</v>
      </c>
      <c r="DK84" s="22"/>
      <c r="DL84" s="23"/>
      <c r="DM84" s="23">
        <f t="shared" si="79"/>
        <v>0</v>
      </c>
      <c r="DN84" s="23">
        <f t="shared" si="80"/>
        <v>0</v>
      </c>
      <c r="DO84" s="23">
        <f t="shared" si="81"/>
        <v>0</v>
      </c>
      <c r="DP84" s="23"/>
      <c r="DQ84" s="23"/>
      <c r="DR84" s="23"/>
      <c r="DS84" s="20">
        <f t="shared" si="101"/>
        <v>0</v>
      </c>
      <c r="DT84" s="22"/>
      <c r="DU84" s="23"/>
      <c r="DV84" s="23">
        <f t="shared" si="82"/>
        <v>0</v>
      </c>
      <c r="DW84" s="23">
        <f t="shared" si="83"/>
        <v>0</v>
      </c>
      <c r="DX84" s="23">
        <f t="shared" si="84"/>
        <v>0</v>
      </c>
      <c r="DY84" s="23"/>
      <c r="DZ84" s="23"/>
      <c r="EA84" s="23"/>
      <c r="EB84" s="20">
        <f t="shared" si="102"/>
        <v>0</v>
      </c>
      <c r="EC84" s="22"/>
      <c r="ED84" s="23"/>
      <c r="EE84" s="23">
        <f t="shared" si="87"/>
        <v>0</v>
      </c>
      <c r="EF84" s="23">
        <f t="shared" si="85"/>
        <v>0</v>
      </c>
      <c r="EG84" s="23">
        <f t="shared" si="86"/>
        <v>0</v>
      </c>
      <c r="EH84" s="23"/>
      <c r="EI84" s="23"/>
      <c r="EJ84" s="22"/>
      <c r="EK84" s="22"/>
      <c r="EL84" s="23"/>
      <c r="EM84" s="23"/>
      <c r="EN84" s="23"/>
      <c r="EO84" s="23"/>
      <c r="EP84" s="23"/>
      <c r="EQ84" s="22"/>
      <c r="ER84" s="22"/>
      <c r="ES84" s="23"/>
      <c r="ET84" s="23"/>
      <c r="EU84" s="23"/>
      <c r="EV84" s="23"/>
    </row>
    <row r="85" spans="1:152" ht="34.5" hidden="1" customHeight="1" x14ac:dyDescent="0.2">
      <c r="A85" s="24" t="str">
        <f>CQ1</f>
        <v>Wettkampf 11</v>
      </c>
      <c r="B85" s="25">
        <f>CQ64</f>
        <v>0</v>
      </c>
      <c r="C85" s="25">
        <f>CV64</f>
        <v>0</v>
      </c>
      <c r="D85" s="25"/>
      <c r="E85" s="26">
        <f t="shared" si="42"/>
        <v>0</v>
      </c>
      <c r="F85" s="20">
        <f t="shared" si="88"/>
        <v>0</v>
      </c>
      <c r="G85" s="22"/>
      <c r="H85" s="23"/>
      <c r="I85" s="23">
        <f t="shared" si="43"/>
        <v>0</v>
      </c>
      <c r="J85" s="23">
        <f t="shared" si="44"/>
        <v>0</v>
      </c>
      <c r="K85" s="23">
        <f t="shared" si="45"/>
        <v>0</v>
      </c>
      <c r="L85" s="23"/>
      <c r="M85" s="23"/>
      <c r="N85" s="23"/>
      <c r="O85" s="20">
        <f t="shared" si="89"/>
        <v>0</v>
      </c>
      <c r="P85" s="22"/>
      <c r="Q85" s="23"/>
      <c r="R85" s="23">
        <f t="shared" si="46"/>
        <v>0</v>
      </c>
      <c r="S85" s="23">
        <f t="shared" si="47"/>
        <v>0</v>
      </c>
      <c r="T85" s="23">
        <f t="shared" si="48"/>
        <v>0</v>
      </c>
      <c r="U85" s="23"/>
      <c r="V85" s="23"/>
      <c r="W85" s="23"/>
      <c r="X85" s="20">
        <f t="shared" si="90"/>
        <v>0</v>
      </c>
      <c r="Y85" s="22"/>
      <c r="Z85" s="23"/>
      <c r="AA85" s="23">
        <f t="shared" si="49"/>
        <v>0</v>
      </c>
      <c r="AB85" s="23">
        <f t="shared" si="50"/>
        <v>0</v>
      </c>
      <c r="AC85" s="23">
        <f t="shared" si="51"/>
        <v>0</v>
      </c>
      <c r="AD85" s="23"/>
      <c r="AE85" s="23"/>
      <c r="AF85" s="23"/>
      <c r="AG85" s="20">
        <f t="shared" si="91"/>
        <v>0</v>
      </c>
      <c r="AH85" s="22"/>
      <c r="AI85" s="23"/>
      <c r="AJ85" s="23">
        <f t="shared" si="52"/>
        <v>0</v>
      </c>
      <c r="AK85" s="23">
        <f t="shared" si="53"/>
        <v>0</v>
      </c>
      <c r="AL85" s="23">
        <f t="shared" si="54"/>
        <v>0</v>
      </c>
      <c r="AM85" s="23"/>
      <c r="AN85" s="23"/>
      <c r="AO85" s="23"/>
      <c r="AP85" s="20">
        <f t="shared" si="92"/>
        <v>0</v>
      </c>
      <c r="AQ85" s="22"/>
      <c r="AR85" s="23"/>
      <c r="AS85" s="23">
        <f t="shared" si="55"/>
        <v>0</v>
      </c>
      <c r="AT85" s="23">
        <f t="shared" si="56"/>
        <v>0</v>
      </c>
      <c r="AU85" s="23">
        <f t="shared" si="57"/>
        <v>0</v>
      </c>
      <c r="AV85" s="23"/>
      <c r="AW85" s="23"/>
      <c r="AX85" s="23"/>
      <c r="AY85" s="20">
        <f t="shared" si="93"/>
        <v>0</v>
      </c>
      <c r="AZ85" s="22"/>
      <c r="BA85" s="23"/>
      <c r="BB85" s="23">
        <f t="shared" si="58"/>
        <v>0</v>
      </c>
      <c r="BC85" s="23">
        <f t="shared" si="59"/>
        <v>0</v>
      </c>
      <c r="BD85" s="23">
        <f t="shared" si="60"/>
        <v>0</v>
      </c>
      <c r="BE85" s="23"/>
      <c r="BF85" s="23"/>
      <c r="BG85" s="23"/>
      <c r="BH85" s="20">
        <f t="shared" si="94"/>
        <v>0</v>
      </c>
      <c r="BI85" s="22"/>
      <c r="BJ85" s="23"/>
      <c r="BK85" s="23">
        <f t="shared" si="61"/>
        <v>0</v>
      </c>
      <c r="BL85" s="23">
        <f t="shared" si="62"/>
        <v>0</v>
      </c>
      <c r="BM85" s="23">
        <f t="shared" si="63"/>
        <v>0</v>
      </c>
      <c r="BN85" s="23"/>
      <c r="BO85" s="23"/>
      <c r="BP85" s="23"/>
      <c r="BQ85" s="20">
        <f t="shared" si="95"/>
        <v>0</v>
      </c>
      <c r="BR85" s="22"/>
      <c r="BS85" s="23"/>
      <c r="BT85" s="23">
        <f t="shared" si="64"/>
        <v>0</v>
      </c>
      <c r="BU85" s="23">
        <f t="shared" si="65"/>
        <v>0</v>
      </c>
      <c r="BV85" s="23">
        <f t="shared" si="66"/>
        <v>0</v>
      </c>
      <c r="BW85" s="23"/>
      <c r="BX85" s="23"/>
      <c r="BY85" s="23"/>
      <c r="BZ85" s="20">
        <f t="shared" si="96"/>
        <v>0</v>
      </c>
      <c r="CA85" s="22"/>
      <c r="CB85" s="23"/>
      <c r="CC85" s="23">
        <f t="shared" si="67"/>
        <v>0</v>
      </c>
      <c r="CD85" s="23">
        <f t="shared" si="68"/>
        <v>0</v>
      </c>
      <c r="CE85" s="23">
        <f t="shared" si="69"/>
        <v>0</v>
      </c>
      <c r="CF85" s="23"/>
      <c r="CG85" s="23"/>
      <c r="CH85" s="23"/>
      <c r="CI85" s="20">
        <f t="shared" si="97"/>
        <v>0</v>
      </c>
      <c r="CJ85" s="22"/>
      <c r="CK85" s="23"/>
      <c r="CL85" s="23">
        <f t="shared" si="70"/>
        <v>0</v>
      </c>
      <c r="CM85" s="23">
        <f t="shared" si="71"/>
        <v>0</v>
      </c>
      <c r="CN85" s="23">
        <f t="shared" si="72"/>
        <v>0</v>
      </c>
      <c r="CO85" s="23"/>
      <c r="CP85" s="23"/>
      <c r="CQ85" s="23"/>
      <c r="CR85" s="20">
        <f t="shared" si="98"/>
        <v>0</v>
      </c>
      <c r="CS85" s="22"/>
      <c r="CT85" s="23"/>
      <c r="CU85" s="23">
        <f t="shared" si="73"/>
        <v>0</v>
      </c>
      <c r="CV85" s="23">
        <f t="shared" si="74"/>
        <v>0</v>
      </c>
      <c r="CW85" s="23">
        <f t="shared" si="75"/>
        <v>0</v>
      </c>
      <c r="CX85" s="23"/>
      <c r="CY85" s="23"/>
      <c r="CZ85" s="23"/>
      <c r="DA85" s="20">
        <f t="shared" si="99"/>
        <v>0</v>
      </c>
      <c r="DB85" s="22"/>
      <c r="DC85" s="23"/>
      <c r="DD85" s="23">
        <f t="shared" si="76"/>
        <v>0</v>
      </c>
      <c r="DE85" s="23">
        <f t="shared" si="77"/>
        <v>0</v>
      </c>
      <c r="DF85" s="23">
        <f t="shared" si="78"/>
        <v>0</v>
      </c>
      <c r="DG85" s="23"/>
      <c r="DH85" s="23"/>
      <c r="DI85" s="23"/>
      <c r="DJ85" s="20">
        <f t="shared" si="100"/>
        <v>0</v>
      </c>
      <c r="DK85" s="22"/>
      <c r="DL85" s="23"/>
      <c r="DM85" s="23">
        <f t="shared" si="79"/>
        <v>0</v>
      </c>
      <c r="DN85" s="23">
        <f t="shared" si="80"/>
        <v>0</v>
      </c>
      <c r="DO85" s="23">
        <f t="shared" si="81"/>
        <v>0</v>
      </c>
      <c r="DP85" s="23"/>
      <c r="DQ85" s="23"/>
      <c r="DR85" s="23"/>
      <c r="DS85" s="20">
        <f t="shared" si="101"/>
        <v>0</v>
      </c>
      <c r="DT85" s="22"/>
      <c r="DU85" s="23"/>
      <c r="DV85" s="23">
        <f t="shared" si="82"/>
        <v>0</v>
      </c>
      <c r="DW85" s="23">
        <f t="shared" si="83"/>
        <v>0</v>
      </c>
      <c r="DX85" s="23">
        <f t="shared" si="84"/>
        <v>0</v>
      </c>
      <c r="DY85" s="23"/>
      <c r="DZ85" s="23"/>
      <c r="EA85" s="23"/>
      <c r="EB85" s="20">
        <f t="shared" si="102"/>
        <v>0</v>
      </c>
      <c r="EC85" s="22"/>
      <c r="ED85" s="23"/>
      <c r="EE85" s="23">
        <f t="shared" si="87"/>
        <v>0</v>
      </c>
      <c r="EF85" s="23">
        <f t="shared" si="85"/>
        <v>0</v>
      </c>
      <c r="EG85" s="23">
        <f t="shared" si="86"/>
        <v>0</v>
      </c>
      <c r="EH85" s="23"/>
      <c r="EI85" s="23"/>
      <c r="EJ85" s="22"/>
      <c r="EK85" s="22"/>
      <c r="EL85" s="23"/>
      <c r="EM85" s="23"/>
      <c r="EN85" s="23"/>
      <c r="EO85" s="23"/>
      <c r="EP85" s="23"/>
      <c r="EQ85" s="22"/>
      <c r="ER85" s="22"/>
      <c r="ES85" s="23"/>
      <c r="ET85" s="23"/>
      <c r="EU85" s="23"/>
      <c r="EV85" s="23"/>
    </row>
    <row r="86" spans="1:152" ht="30" hidden="1" customHeight="1" x14ac:dyDescent="0.2">
      <c r="A86" s="24" t="str">
        <f>CZ1</f>
        <v>Wettkampf 12</v>
      </c>
      <c r="B86" s="25">
        <f>CZ64</f>
        <v>0</v>
      </c>
      <c r="C86" s="25">
        <f>DE64</f>
        <v>0</v>
      </c>
      <c r="D86" s="25"/>
      <c r="E86" s="26">
        <f t="shared" si="42"/>
        <v>0</v>
      </c>
      <c r="F86" s="20">
        <f t="shared" si="88"/>
        <v>0</v>
      </c>
      <c r="G86" s="22"/>
      <c r="H86" s="23"/>
      <c r="I86" s="23">
        <f t="shared" si="43"/>
        <v>0</v>
      </c>
      <c r="J86" s="23">
        <f t="shared" si="44"/>
        <v>0</v>
      </c>
      <c r="K86" s="23">
        <f t="shared" si="45"/>
        <v>0</v>
      </c>
      <c r="L86" s="23"/>
      <c r="M86" s="23"/>
      <c r="N86" s="23"/>
      <c r="O86" s="20">
        <f t="shared" si="89"/>
        <v>0</v>
      </c>
      <c r="P86" s="22"/>
      <c r="Q86" s="23"/>
      <c r="R86" s="23">
        <f t="shared" si="46"/>
        <v>0</v>
      </c>
      <c r="S86" s="23">
        <f t="shared" si="47"/>
        <v>0</v>
      </c>
      <c r="T86" s="23">
        <f t="shared" si="48"/>
        <v>0</v>
      </c>
      <c r="U86" s="23"/>
      <c r="V86" s="23"/>
      <c r="W86" s="23"/>
      <c r="X86" s="20">
        <f t="shared" si="90"/>
        <v>0</v>
      </c>
      <c r="Y86" s="22"/>
      <c r="Z86" s="23"/>
      <c r="AA86" s="23">
        <f t="shared" si="49"/>
        <v>0</v>
      </c>
      <c r="AB86" s="23">
        <f t="shared" si="50"/>
        <v>0</v>
      </c>
      <c r="AC86" s="23">
        <f t="shared" si="51"/>
        <v>0</v>
      </c>
      <c r="AD86" s="23"/>
      <c r="AE86" s="23"/>
      <c r="AF86" s="23"/>
      <c r="AG86" s="20">
        <f t="shared" si="91"/>
        <v>0</v>
      </c>
      <c r="AH86" s="22"/>
      <c r="AI86" s="23"/>
      <c r="AJ86" s="23">
        <f t="shared" si="52"/>
        <v>0</v>
      </c>
      <c r="AK86" s="23">
        <f t="shared" si="53"/>
        <v>0</v>
      </c>
      <c r="AL86" s="23">
        <f t="shared" si="54"/>
        <v>0</v>
      </c>
      <c r="AM86" s="23"/>
      <c r="AN86" s="23"/>
      <c r="AO86" s="23"/>
      <c r="AP86" s="20">
        <f t="shared" si="92"/>
        <v>0</v>
      </c>
      <c r="AQ86" s="22"/>
      <c r="AR86" s="23"/>
      <c r="AS86" s="23">
        <f t="shared" si="55"/>
        <v>0</v>
      </c>
      <c r="AT86" s="23">
        <f t="shared" si="56"/>
        <v>0</v>
      </c>
      <c r="AU86" s="23">
        <f t="shared" si="57"/>
        <v>0</v>
      </c>
      <c r="AV86" s="23"/>
      <c r="AW86" s="23"/>
      <c r="AX86" s="23"/>
      <c r="AY86" s="20">
        <f t="shared" si="93"/>
        <v>0</v>
      </c>
      <c r="AZ86" s="22"/>
      <c r="BA86" s="23"/>
      <c r="BB86" s="23">
        <f t="shared" si="58"/>
        <v>0</v>
      </c>
      <c r="BC86" s="23">
        <f t="shared" si="59"/>
        <v>0</v>
      </c>
      <c r="BD86" s="23">
        <f t="shared" si="60"/>
        <v>0</v>
      </c>
      <c r="BE86" s="23"/>
      <c r="BF86" s="23"/>
      <c r="BG86" s="23"/>
      <c r="BH86" s="20">
        <f t="shared" si="94"/>
        <v>0</v>
      </c>
      <c r="BI86" s="22"/>
      <c r="BJ86" s="23"/>
      <c r="BK86" s="23">
        <f t="shared" si="61"/>
        <v>0</v>
      </c>
      <c r="BL86" s="23">
        <f t="shared" si="62"/>
        <v>0</v>
      </c>
      <c r="BM86" s="23">
        <f t="shared" si="63"/>
        <v>0</v>
      </c>
      <c r="BN86" s="23"/>
      <c r="BO86" s="23"/>
      <c r="BP86" s="23"/>
      <c r="BQ86" s="20">
        <f t="shared" si="95"/>
        <v>0</v>
      </c>
      <c r="BR86" s="22"/>
      <c r="BS86" s="23"/>
      <c r="BT86" s="23">
        <f t="shared" si="64"/>
        <v>0</v>
      </c>
      <c r="BU86" s="23">
        <f t="shared" si="65"/>
        <v>0</v>
      </c>
      <c r="BV86" s="23">
        <f t="shared" si="66"/>
        <v>0</v>
      </c>
      <c r="BW86" s="23"/>
      <c r="BX86" s="23"/>
      <c r="BY86" s="23"/>
      <c r="BZ86" s="20">
        <f t="shared" si="96"/>
        <v>0</v>
      </c>
      <c r="CA86" s="22"/>
      <c r="CB86" s="23"/>
      <c r="CC86" s="23">
        <f t="shared" si="67"/>
        <v>0</v>
      </c>
      <c r="CD86" s="23">
        <f t="shared" si="68"/>
        <v>0</v>
      </c>
      <c r="CE86" s="23">
        <f t="shared" si="69"/>
        <v>0</v>
      </c>
      <c r="CF86" s="23"/>
      <c r="CG86" s="23"/>
      <c r="CH86" s="23"/>
      <c r="CI86" s="20">
        <f t="shared" si="97"/>
        <v>0</v>
      </c>
      <c r="CJ86" s="22"/>
      <c r="CK86" s="23"/>
      <c r="CL86" s="23">
        <f t="shared" si="70"/>
        <v>0</v>
      </c>
      <c r="CM86" s="23">
        <f t="shared" si="71"/>
        <v>0</v>
      </c>
      <c r="CN86" s="23">
        <f t="shared" si="72"/>
        <v>0</v>
      </c>
      <c r="CO86" s="23"/>
      <c r="CP86" s="23"/>
      <c r="CQ86" s="23"/>
      <c r="CR86" s="20">
        <f t="shared" si="98"/>
        <v>0</v>
      </c>
      <c r="CS86" s="22"/>
      <c r="CT86" s="23"/>
      <c r="CU86" s="23">
        <f t="shared" si="73"/>
        <v>0</v>
      </c>
      <c r="CV86" s="23">
        <f t="shared" si="74"/>
        <v>0</v>
      </c>
      <c r="CW86" s="23">
        <f t="shared" si="75"/>
        <v>0</v>
      </c>
      <c r="CX86" s="23"/>
      <c r="CY86" s="23"/>
      <c r="CZ86" s="23"/>
      <c r="DA86" s="20">
        <f t="shared" si="99"/>
        <v>0</v>
      </c>
      <c r="DB86" s="22"/>
      <c r="DC86" s="23"/>
      <c r="DD86" s="23">
        <f t="shared" si="76"/>
        <v>0</v>
      </c>
      <c r="DE86" s="23">
        <f t="shared" si="77"/>
        <v>0</v>
      </c>
      <c r="DF86" s="23">
        <f t="shared" si="78"/>
        <v>0</v>
      </c>
      <c r="DG86" s="23"/>
      <c r="DH86" s="23"/>
      <c r="DI86" s="23"/>
      <c r="DJ86" s="20">
        <f t="shared" si="100"/>
        <v>0</v>
      </c>
      <c r="DK86" s="22"/>
      <c r="DL86" s="23"/>
      <c r="DM86" s="23">
        <f t="shared" si="79"/>
        <v>0</v>
      </c>
      <c r="DN86" s="23">
        <f t="shared" si="80"/>
        <v>0</v>
      </c>
      <c r="DO86" s="23">
        <f t="shared" si="81"/>
        <v>0</v>
      </c>
      <c r="DP86" s="23"/>
      <c r="DQ86" s="23"/>
      <c r="DR86" s="23"/>
      <c r="DS86" s="20">
        <f t="shared" si="101"/>
        <v>0</v>
      </c>
      <c r="DT86" s="22"/>
      <c r="DU86" s="23"/>
      <c r="DV86" s="23">
        <f t="shared" si="82"/>
        <v>0</v>
      </c>
      <c r="DW86" s="23">
        <f t="shared" si="83"/>
        <v>0</v>
      </c>
      <c r="DX86" s="23">
        <f t="shared" si="84"/>
        <v>0</v>
      </c>
      <c r="DY86" s="23"/>
      <c r="DZ86" s="23"/>
      <c r="EA86" s="23"/>
      <c r="EB86" s="20">
        <f t="shared" si="102"/>
        <v>0</v>
      </c>
      <c r="EC86" s="22"/>
      <c r="ED86" s="23"/>
      <c r="EE86" s="23">
        <f t="shared" si="87"/>
        <v>0</v>
      </c>
      <c r="EF86" s="23">
        <f t="shared" si="85"/>
        <v>0</v>
      </c>
      <c r="EG86" s="23">
        <f t="shared" si="86"/>
        <v>0</v>
      </c>
      <c r="EH86" s="23"/>
      <c r="EI86" s="23"/>
      <c r="EJ86" s="22"/>
      <c r="EK86" s="22"/>
      <c r="EL86" s="23"/>
      <c r="EM86" s="23"/>
      <c r="EN86" s="23"/>
      <c r="EO86" s="23"/>
      <c r="EP86" s="23"/>
      <c r="EQ86" s="22"/>
      <c r="ER86" s="22"/>
      <c r="ES86" s="23"/>
      <c r="ET86" s="23"/>
      <c r="EU86" s="23"/>
      <c r="EV86" s="23"/>
    </row>
    <row r="87" spans="1:152" ht="32.25" hidden="1" customHeight="1" x14ac:dyDescent="0.2">
      <c r="A87" s="24" t="str">
        <f>DI1</f>
        <v>Wettkampf 13</v>
      </c>
      <c r="B87" s="25">
        <f>DI64</f>
        <v>0</v>
      </c>
      <c r="C87" s="25">
        <f>DN64</f>
        <v>0</v>
      </c>
      <c r="D87" s="25"/>
      <c r="E87" s="26">
        <f t="shared" si="42"/>
        <v>0</v>
      </c>
      <c r="F87" s="20">
        <f t="shared" si="88"/>
        <v>0</v>
      </c>
      <c r="G87" s="22"/>
      <c r="H87" s="23"/>
      <c r="I87" s="23">
        <f t="shared" si="43"/>
        <v>0</v>
      </c>
      <c r="J87" s="23">
        <f t="shared" si="44"/>
        <v>0</v>
      </c>
      <c r="K87" s="23">
        <f t="shared" si="45"/>
        <v>0</v>
      </c>
      <c r="L87" s="23"/>
      <c r="M87" s="23"/>
      <c r="N87" s="23"/>
      <c r="O87" s="20">
        <f t="shared" si="89"/>
        <v>0</v>
      </c>
      <c r="P87" s="22"/>
      <c r="Q87" s="23"/>
      <c r="R87" s="23">
        <f t="shared" si="46"/>
        <v>0</v>
      </c>
      <c r="S87" s="23">
        <f t="shared" si="47"/>
        <v>0</v>
      </c>
      <c r="T87" s="23">
        <f t="shared" si="48"/>
        <v>0</v>
      </c>
      <c r="U87" s="23"/>
      <c r="V87" s="23"/>
      <c r="W87" s="23"/>
      <c r="X87" s="20">
        <f t="shared" si="90"/>
        <v>0</v>
      </c>
      <c r="Y87" s="22"/>
      <c r="Z87" s="23"/>
      <c r="AA87" s="23">
        <f t="shared" si="49"/>
        <v>0</v>
      </c>
      <c r="AB87" s="23">
        <f t="shared" si="50"/>
        <v>0</v>
      </c>
      <c r="AC87" s="23">
        <f t="shared" si="51"/>
        <v>0</v>
      </c>
      <c r="AD87" s="23"/>
      <c r="AE87" s="23"/>
      <c r="AF87" s="23"/>
      <c r="AG87" s="20">
        <f t="shared" si="91"/>
        <v>0</v>
      </c>
      <c r="AH87" s="22"/>
      <c r="AI87" s="23"/>
      <c r="AJ87" s="23">
        <f t="shared" si="52"/>
        <v>0</v>
      </c>
      <c r="AK87" s="23">
        <f t="shared" si="53"/>
        <v>0</v>
      </c>
      <c r="AL87" s="23">
        <f t="shared" si="54"/>
        <v>0</v>
      </c>
      <c r="AM87" s="23"/>
      <c r="AN87" s="23"/>
      <c r="AO87" s="23"/>
      <c r="AP87" s="20">
        <f t="shared" si="92"/>
        <v>0</v>
      </c>
      <c r="AQ87" s="22"/>
      <c r="AR87" s="23"/>
      <c r="AS87" s="23">
        <f t="shared" si="55"/>
        <v>0</v>
      </c>
      <c r="AT87" s="23">
        <f t="shared" si="56"/>
        <v>0</v>
      </c>
      <c r="AU87" s="23">
        <f t="shared" si="57"/>
        <v>0</v>
      </c>
      <c r="AV87" s="23"/>
      <c r="AW87" s="23"/>
      <c r="AX87" s="23"/>
      <c r="AY87" s="20">
        <f t="shared" si="93"/>
        <v>0</v>
      </c>
      <c r="AZ87" s="22"/>
      <c r="BA87" s="23"/>
      <c r="BB87" s="23">
        <f t="shared" si="58"/>
        <v>0</v>
      </c>
      <c r="BC87" s="23">
        <f t="shared" si="59"/>
        <v>0</v>
      </c>
      <c r="BD87" s="23">
        <f t="shared" si="60"/>
        <v>0</v>
      </c>
      <c r="BE87" s="23"/>
      <c r="BF87" s="23"/>
      <c r="BG87" s="23"/>
      <c r="BH87" s="20">
        <f t="shared" si="94"/>
        <v>0</v>
      </c>
      <c r="BI87" s="22"/>
      <c r="BJ87" s="23"/>
      <c r="BK87" s="23">
        <f t="shared" si="61"/>
        <v>0</v>
      </c>
      <c r="BL87" s="23">
        <f t="shared" si="62"/>
        <v>0</v>
      </c>
      <c r="BM87" s="23">
        <f t="shared" si="63"/>
        <v>0</v>
      </c>
      <c r="BN87" s="23"/>
      <c r="BO87" s="23"/>
      <c r="BP87" s="23"/>
      <c r="BQ87" s="20">
        <f t="shared" si="95"/>
        <v>0</v>
      </c>
      <c r="BR87" s="22"/>
      <c r="BS87" s="23"/>
      <c r="BT87" s="23">
        <f t="shared" si="64"/>
        <v>0</v>
      </c>
      <c r="BU87" s="23">
        <f t="shared" si="65"/>
        <v>0</v>
      </c>
      <c r="BV87" s="23">
        <f t="shared" si="66"/>
        <v>0</v>
      </c>
      <c r="BW87" s="23"/>
      <c r="BX87" s="23"/>
      <c r="BY87" s="23"/>
      <c r="BZ87" s="20">
        <f t="shared" si="96"/>
        <v>0</v>
      </c>
      <c r="CA87" s="22"/>
      <c r="CB87" s="23"/>
      <c r="CC87" s="23">
        <f t="shared" si="67"/>
        <v>0</v>
      </c>
      <c r="CD87" s="23">
        <f t="shared" si="68"/>
        <v>0</v>
      </c>
      <c r="CE87" s="23">
        <f t="shared" si="69"/>
        <v>0</v>
      </c>
      <c r="CF87" s="23"/>
      <c r="CG87" s="23"/>
      <c r="CH87" s="23"/>
      <c r="CI87" s="20">
        <f t="shared" si="97"/>
        <v>0</v>
      </c>
      <c r="CJ87" s="22"/>
      <c r="CK87" s="23"/>
      <c r="CL87" s="23">
        <f t="shared" si="70"/>
        <v>0</v>
      </c>
      <c r="CM87" s="23">
        <f t="shared" si="71"/>
        <v>0</v>
      </c>
      <c r="CN87" s="23">
        <f t="shared" si="72"/>
        <v>0</v>
      </c>
      <c r="CO87" s="23"/>
      <c r="CP87" s="23"/>
      <c r="CQ87" s="23"/>
      <c r="CR87" s="20">
        <f t="shared" si="98"/>
        <v>0</v>
      </c>
      <c r="CS87" s="22"/>
      <c r="CT87" s="23"/>
      <c r="CU87" s="23">
        <f t="shared" si="73"/>
        <v>0</v>
      </c>
      <c r="CV87" s="23">
        <f t="shared" si="74"/>
        <v>0</v>
      </c>
      <c r="CW87" s="23">
        <f t="shared" si="75"/>
        <v>0</v>
      </c>
      <c r="CX87" s="23"/>
      <c r="CY87" s="23"/>
      <c r="CZ87" s="23"/>
      <c r="DA87" s="20">
        <f t="shared" si="99"/>
        <v>0</v>
      </c>
      <c r="DB87" s="22"/>
      <c r="DC87" s="23"/>
      <c r="DD87" s="23">
        <f t="shared" si="76"/>
        <v>0</v>
      </c>
      <c r="DE87" s="23">
        <f t="shared" si="77"/>
        <v>0</v>
      </c>
      <c r="DF87" s="23">
        <f t="shared" si="78"/>
        <v>0</v>
      </c>
      <c r="DG87" s="23"/>
      <c r="DH87" s="23"/>
      <c r="DI87" s="23"/>
      <c r="DJ87" s="20">
        <f t="shared" si="100"/>
        <v>0</v>
      </c>
      <c r="DK87" s="22"/>
      <c r="DL87" s="23"/>
      <c r="DM87" s="23">
        <f t="shared" si="79"/>
        <v>0</v>
      </c>
      <c r="DN87" s="23">
        <f t="shared" si="80"/>
        <v>0</v>
      </c>
      <c r="DO87" s="23">
        <f t="shared" si="81"/>
        <v>0</v>
      </c>
      <c r="DP87" s="23"/>
      <c r="DQ87" s="23"/>
      <c r="DR87" s="23"/>
      <c r="DS87" s="20">
        <f t="shared" si="101"/>
        <v>0</v>
      </c>
      <c r="DT87" s="22"/>
      <c r="DU87" s="23"/>
      <c r="DV87" s="23">
        <f t="shared" si="82"/>
        <v>0</v>
      </c>
      <c r="DW87" s="23">
        <f t="shared" si="83"/>
        <v>0</v>
      </c>
      <c r="DX87" s="23">
        <f t="shared" si="84"/>
        <v>0</v>
      </c>
      <c r="DY87" s="23"/>
      <c r="DZ87" s="23"/>
      <c r="EA87" s="23"/>
      <c r="EB87" s="20">
        <f t="shared" si="102"/>
        <v>0</v>
      </c>
      <c r="EC87" s="22"/>
      <c r="ED87" s="23"/>
      <c r="EE87" s="23">
        <f t="shared" si="87"/>
        <v>0</v>
      </c>
      <c r="EF87" s="23">
        <f t="shared" si="85"/>
        <v>0</v>
      </c>
      <c r="EG87" s="23">
        <f t="shared" si="86"/>
        <v>0</v>
      </c>
      <c r="EH87" s="23"/>
      <c r="EI87" s="23"/>
      <c r="EJ87" s="22"/>
      <c r="EK87" s="22"/>
      <c r="EL87" s="23"/>
      <c r="EM87" s="23"/>
      <c r="EN87" s="23"/>
      <c r="EO87" s="23"/>
      <c r="EP87" s="23"/>
      <c r="EQ87" s="22"/>
      <c r="ER87" s="22"/>
      <c r="ES87" s="23"/>
      <c r="ET87" s="23"/>
      <c r="EU87" s="23"/>
      <c r="EV87" s="23"/>
    </row>
    <row r="88" spans="1:152" ht="31.5" hidden="1" customHeight="1" x14ac:dyDescent="0.2">
      <c r="A88" s="24" t="str">
        <f>DR1</f>
        <v>Wettkampf 14</v>
      </c>
      <c r="B88" s="25">
        <f>DR64</f>
        <v>0</v>
      </c>
      <c r="C88" s="25">
        <f>DW64</f>
        <v>0</v>
      </c>
      <c r="D88" s="25"/>
      <c r="E88" s="26">
        <f t="shared" si="42"/>
        <v>0</v>
      </c>
      <c r="F88" s="20">
        <f t="shared" si="88"/>
        <v>0</v>
      </c>
      <c r="G88" s="22"/>
      <c r="H88" s="23"/>
      <c r="I88" s="23">
        <f t="shared" si="43"/>
        <v>0</v>
      </c>
      <c r="J88" s="23">
        <f t="shared" si="44"/>
        <v>0</v>
      </c>
      <c r="K88" s="23">
        <f t="shared" si="45"/>
        <v>0</v>
      </c>
      <c r="L88" s="23"/>
      <c r="M88" s="23"/>
      <c r="N88" s="23"/>
      <c r="O88" s="20">
        <f t="shared" si="89"/>
        <v>0</v>
      </c>
      <c r="P88" s="22"/>
      <c r="Q88" s="23"/>
      <c r="R88" s="23">
        <f t="shared" si="46"/>
        <v>0</v>
      </c>
      <c r="S88" s="23">
        <f t="shared" si="47"/>
        <v>0</v>
      </c>
      <c r="T88" s="23">
        <f t="shared" si="48"/>
        <v>0</v>
      </c>
      <c r="U88" s="23"/>
      <c r="V88" s="23"/>
      <c r="W88" s="23"/>
      <c r="X88" s="20">
        <f t="shared" si="90"/>
        <v>0</v>
      </c>
      <c r="Y88" s="22"/>
      <c r="Z88" s="23"/>
      <c r="AA88" s="23">
        <f t="shared" si="49"/>
        <v>0</v>
      </c>
      <c r="AB88" s="23">
        <f t="shared" si="50"/>
        <v>0</v>
      </c>
      <c r="AC88" s="23">
        <f t="shared" si="51"/>
        <v>0</v>
      </c>
      <c r="AD88" s="23"/>
      <c r="AE88" s="23"/>
      <c r="AF88" s="23"/>
      <c r="AG88" s="20">
        <f t="shared" si="91"/>
        <v>0</v>
      </c>
      <c r="AH88" s="22"/>
      <c r="AI88" s="23"/>
      <c r="AJ88" s="23">
        <f t="shared" si="52"/>
        <v>0</v>
      </c>
      <c r="AK88" s="23">
        <f t="shared" si="53"/>
        <v>0</v>
      </c>
      <c r="AL88" s="23">
        <f t="shared" si="54"/>
        <v>0</v>
      </c>
      <c r="AM88" s="23"/>
      <c r="AN88" s="23"/>
      <c r="AO88" s="23"/>
      <c r="AP88" s="20">
        <f t="shared" si="92"/>
        <v>0</v>
      </c>
      <c r="AQ88" s="22"/>
      <c r="AR88" s="23"/>
      <c r="AS88" s="23">
        <f t="shared" si="55"/>
        <v>0</v>
      </c>
      <c r="AT88" s="23">
        <f t="shared" si="56"/>
        <v>0</v>
      </c>
      <c r="AU88" s="23">
        <f t="shared" si="57"/>
        <v>0</v>
      </c>
      <c r="AV88" s="23"/>
      <c r="AW88" s="23"/>
      <c r="AX88" s="23"/>
      <c r="AY88" s="20">
        <f t="shared" si="93"/>
        <v>0</v>
      </c>
      <c r="AZ88" s="22"/>
      <c r="BA88" s="23"/>
      <c r="BB88" s="23">
        <f t="shared" si="58"/>
        <v>0</v>
      </c>
      <c r="BC88" s="23">
        <f t="shared" si="59"/>
        <v>0</v>
      </c>
      <c r="BD88" s="23">
        <f t="shared" si="60"/>
        <v>0</v>
      </c>
      <c r="BE88" s="23"/>
      <c r="BF88" s="23"/>
      <c r="BG88" s="23"/>
      <c r="BH88" s="20">
        <f t="shared" si="94"/>
        <v>0</v>
      </c>
      <c r="BI88" s="22"/>
      <c r="BJ88" s="23"/>
      <c r="BK88" s="23">
        <f t="shared" si="61"/>
        <v>0</v>
      </c>
      <c r="BL88" s="23">
        <f t="shared" si="62"/>
        <v>0</v>
      </c>
      <c r="BM88" s="23">
        <f t="shared" si="63"/>
        <v>0</v>
      </c>
      <c r="BN88" s="23"/>
      <c r="BO88" s="23"/>
      <c r="BP88" s="23"/>
      <c r="BQ88" s="20">
        <f t="shared" si="95"/>
        <v>0</v>
      </c>
      <c r="BR88" s="22"/>
      <c r="BS88" s="23"/>
      <c r="BT88" s="23">
        <f t="shared" si="64"/>
        <v>0</v>
      </c>
      <c r="BU88" s="23">
        <f t="shared" si="65"/>
        <v>0</v>
      </c>
      <c r="BV88" s="23">
        <f t="shared" si="66"/>
        <v>0</v>
      </c>
      <c r="BW88" s="23"/>
      <c r="BX88" s="23"/>
      <c r="BY88" s="23"/>
      <c r="BZ88" s="20">
        <f t="shared" si="96"/>
        <v>0</v>
      </c>
      <c r="CA88" s="22"/>
      <c r="CB88" s="23"/>
      <c r="CC88" s="23">
        <f t="shared" si="67"/>
        <v>0</v>
      </c>
      <c r="CD88" s="23">
        <f t="shared" si="68"/>
        <v>0</v>
      </c>
      <c r="CE88" s="23">
        <f t="shared" si="69"/>
        <v>0</v>
      </c>
      <c r="CF88" s="23"/>
      <c r="CG88" s="23"/>
      <c r="CH88" s="23"/>
      <c r="CI88" s="20">
        <f t="shared" si="97"/>
        <v>0</v>
      </c>
      <c r="CJ88" s="22"/>
      <c r="CK88" s="23"/>
      <c r="CL88" s="23">
        <f t="shared" si="70"/>
        <v>0</v>
      </c>
      <c r="CM88" s="23">
        <f t="shared" si="71"/>
        <v>0</v>
      </c>
      <c r="CN88" s="23">
        <f t="shared" si="72"/>
        <v>0</v>
      </c>
      <c r="CO88" s="23"/>
      <c r="CP88" s="23"/>
      <c r="CQ88" s="23"/>
      <c r="CR88" s="20">
        <f t="shared" si="98"/>
        <v>0</v>
      </c>
      <c r="CS88" s="22"/>
      <c r="CT88" s="23"/>
      <c r="CU88" s="23">
        <f t="shared" si="73"/>
        <v>0</v>
      </c>
      <c r="CV88" s="23">
        <f t="shared" si="74"/>
        <v>0</v>
      </c>
      <c r="CW88" s="23">
        <f t="shared" si="75"/>
        <v>0</v>
      </c>
      <c r="CX88" s="23"/>
      <c r="CY88" s="23"/>
      <c r="CZ88" s="23"/>
      <c r="DA88" s="20">
        <f t="shared" si="99"/>
        <v>0</v>
      </c>
      <c r="DB88" s="22"/>
      <c r="DC88" s="23"/>
      <c r="DD88" s="23">
        <f t="shared" si="76"/>
        <v>0</v>
      </c>
      <c r="DE88" s="23">
        <f t="shared" si="77"/>
        <v>0</v>
      </c>
      <c r="DF88" s="23">
        <f t="shared" si="78"/>
        <v>0</v>
      </c>
      <c r="DG88" s="23"/>
      <c r="DH88" s="23"/>
      <c r="DI88" s="23"/>
      <c r="DJ88" s="20">
        <f t="shared" si="100"/>
        <v>0</v>
      </c>
      <c r="DK88" s="22"/>
      <c r="DL88" s="23"/>
      <c r="DM88" s="23">
        <f t="shared" si="79"/>
        <v>0</v>
      </c>
      <c r="DN88" s="23">
        <f t="shared" si="80"/>
        <v>0</v>
      </c>
      <c r="DO88" s="23">
        <f t="shared" si="81"/>
        <v>0</v>
      </c>
      <c r="DP88" s="23"/>
      <c r="DQ88" s="23"/>
      <c r="DR88" s="23"/>
      <c r="DS88" s="20">
        <f t="shared" si="101"/>
        <v>0</v>
      </c>
      <c r="DT88" s="22"/>
      <c r="DU88" s="23"/>
      <c r="DV88" s="23">
        <f t="shared" si="82"/>
        <v>0</v>
      </c>
      <c r="DW88" s="23">
        <f t="shared" si="83"/>
        <v>0</v>
      </c>
      <c r="DX88" s="23">
        <f t="shared" si="84"/>
        <v>0</v>
      </c>
      <c r="DY88" s="23"/>
      <c r="DZ88" s="23"/>
      <c r="EA88" s="23"/>
      <c r="EB88" s="20">
        <f t="shared" si="102"/>
        <v>0</v>
      </c>
      <c r="EC88" s="22"/>
      <c r="ED88" s="23"/>
      <c r="EE88" s="23">
        <f t="shared" si="87"/>
        <v>0</v>
      </c>
      <c r="EF88" s="23">
        <f t="shared" si="85"/>
        <v>0</v>
      </c>
      <c r="EG88" s="23">
        <f t="shared" si="86"/>
        <v>0</v>
      </c>
      <c r="EH88" s="23"/>
      <c r="EI88" s="23"/>
      <c r="EJ88" s="22"/>
      <c r="EK88" s="22"/>
      <c r="EL88" s="23"/>
      <c r="EM88" s="23"/>
      <c r="EN88" s="23"/>
      <c r="EO88" s="23"/>
      <c r="EP88" s="23"/>
      <c r="EQ88" s="22"/>
      <c r="ER88" s="22"/>
      <c r="ES88" s="23"/>
      <c r="ET88" s="23"/>
      <c r="EU88" s="23"/>
      <c r="EV88" s="23"/>
    </row>
    <row r="89" spans="1:152" ht="37.5" hidden="1" customHeight="1" thickBot="1" x14ac:dyDescent="0.25">
      <c r="A89" s="27" t="str">
        <f>EA1</f>
        <v>Wettkampf 15</v>
      </c>
      <c r="B89" s="28">
        <f>EA64</f>
        <v>0</v>
      </c>
      <c r="C89" s="28">
        <f>EF64</f>
        <v>0</v>
      </c>
      <c r="D89" s="28"/>
      <c r="E89" s="29">
        <f t="shared" si="42"/>
        <v>0</v>
      </c>
      <c r="F89" s="20">
        <f t="shared" si="88"/>
        <v>0</v>
      </c>
      <c r="G89" s="22"/>
      <c r="H89" s="23"/>
      <c r="I89" s="23">
        <f t="shared" si="43"/>
        <v>0</v>
      </c>
      <c r="J89" s="23">
        <f t="shared" si="44"/>
        <v>0</v>
      </c>
      <c r="K89" s="23">
        <f t="shared" si="45"/>
        <v>0</v>
      </c>
      <c r="L89" s="23"/>
      <c r="M89" s="23"/>
      <c r="N89" s="23"/>
      <c r="O89" s="20">
        <f t="shared" si="89"/>
        <v>0</v>
      </c>
      <c r="P89" s="22"/>
      <c r="Q89" s="23"/>
      <c r="R89" s="23">
        <f t="shared" si="46"/>
        <v>0</v>
      </c>
      <c r="S89" s="23">
        <f t="shared" si="47"/>
        <v>0</v>
      </c>
      <c r="T89" s="23">
        <f t="shared" si="48"/>
        <v>0</v>
      </c>
      <c r="U89" s="23"/>
      <c r="V89" s="23"/>
      <c r="W89" s="23"/>
      <c r="X89" s="20">
        <f t="shared" si="90"/>
        <v>0</v>
      </c>
      <c r="Y89" s="22"/>
      <c r="Z89" s="23"/>
      <c r="AA89" s="23">
        <f t="shared" si="49"/>
        <v>0</v>
      </c>
      <c r="AB89" s="23">
        <f t="shared" si="50"/>
        <v>0</v>
      </c>
      <c r="AC89" s="23">
        <f t="shared" si="51"/>
        <v>0</v>
      </c>
      <c r="AD89" s="23"/>
      <c r="AE89" s="23"/>
      <c r="AF89" s="23"/>
      <c r="AG89" s="20">
        <f t="shared" si="91"/>
        <v>0</v>
      </c>
      <c r="AH89" s="22"/>
      <c r="AI89" s="23"/>
      <c r="AJ89" s="23">
        <f t="shared" si="52"/>
        <v>0</v>
      </c>
      <c r="AK89" s="23">
        <f t="shared" si="53"/>
        <v>0</v>
      </c>
      <c r="AL89" s="23">
        <f t="shared" si="54"/>
        <v>0</v>
      </c>
      <c r="AM89" s="23"/>
      <c r="AN89" s="23"/>
      <c r="AO89" s="23"/>
      <c r="AP89" s="20">
        <f t="shared" si="92"/>
        <v>0</v>
      </c>
      <c r="AQ89" s="22"/>
      <c r="AR89" s="23"/>
      <c r="AS89" s="23">
        <f t="shared" si="55"/>
        <v>0</v>
      </c>
      <c r="AT89" s="23">
        <f t="shared" si="56"/>
        <v>0</v>
      </c>
      <c r="AU89" s="23">
        <f t="shared" si="57"/>
        <v>0</v>
      </c>
      <c r="AV89" s="23"/>
      <c r="AW89" s="23"/>
      <c r="AX89" s="23"/>
      <c r="AY89" s="20">
        <f t="shared" si="93"/>
        <v>0</v>
      </c>
      <c r="AZ89" s="22"/>
      <c r="BA89" s="23"/>
      <c r="BB89" s="23">
        <f t="shared" si="58"/>
        <v>0</v>
      </c>
      <c r="BC89" s="23">
        <f t="shared" si="59"/>
        <v>0</v>
      </c>
      <c r="BD89" s="23">
        <f t="shared" si="60"/>
        <v>0</v>
      </c>
      <c r="BE89" s="23"/>
      <c r="BF89" s="23"/>
      <c r="BG89" s="23"/>
      <c r="BH89" s="20">
        <f t="shared" si="94"/>
        <v>0</v>
      </c>
      <c r="BI89" s="22"/>
      <c r="BJ89" s="23"/>
      <c r="BK89" s="23">
        <f t="shared" si="61"/>
        <v>0</v>
      </c>
      <c r="BL89" s="23">
        <f t="shared" si="62"/>
        <v>0</v>
      </c>
      <c r="BM89" s="23">
        <f t="shared" si="63"/>
        <v>0</v>
      </c>
      <c r="BN89" s="23"/>
      <c r="BO89" s="23"/>
      <c r="BP89" s="23"/>
      <c r="BQ89" s="20">
        <f t="shared" si="95"/>
        <v>0</v>
      </c>
      <c r="BR89" s="22"/>
      <c r="BS89" s="23"/>
      <c r="BT89" s="23">
        <f t="shared" si="64"/>
        <v>0</v>
      </c>
      <c r="BU89" s="23">
        <f t="shared" si="65"/>
        <v>0</v>
      </c>
      <c r="BV89" s="23">
        <f t="shared" si="66"/>
        <v>0</v>
      </c>
      <c r="BW89" s="23"/>
      <c r="BX89" s="23"/>
      <c r="BY89" s="23"/>
      <c r="BZ89" s="20">
        <f t="shared" si="96"/>
        <v>0</v>
      </c>
      <c r="CA89" s="22"/>
      <c r="CB89" s="23"/>
      <c r="CC89" s="23">
        <f t="shared" si="67"/>
        <v>0</v>
      </c>
      <c r="CD89" s="23">
        <f t="shared" si="68"/>
        <v>0</v>
      </c>
      <c r="CE89" s="23">
        <f t="shared" si="69"/>
        <v>0</v>
      </c>
      <c r="CF89" s="23"/>
      <c r="CG89" s="23"/>
      <c r="CH89" s="23"/>
      <c r="CI89" s="20">
        <f t="shared" si="97"/>
        <v>0</v>
      </c>
      <c r="CJ89" s="22"/>
      <c r="CK89" s="23"/>
      <c r="CL89" s="23">
        <f t="shared" si="70"/>
        <v>0</v>
      </c>
      <c r="CM89" s="23">
        <f t="shared" si="71"/>
        <v>0</v>
      </c>
      <c r="CN89" s="23">
        <f t="shared" si="72"/>
        <v>0</v>
      </c>
      <c r="CO89" s="23"/>
      <c r="CP89" s="23"/>
      <c r="CQ89" s="23"/>
      <c r="CR89" s="20">
        <f t="shared" si="98"/>
        <v>0</v>
      </c>
      <c r="CS89" s="22"/>
      <c r="CT89" s="23"/>
      <c r="CU89" s="23">
        <f t="shared" si="73"/>
        <v>0</v>
      </c>
      <c r="CV89" s="23">
        <f t="shared" si="74"/>
        <v>0</v>
      </c>
      <c r="CW89" s="23">
        <f t="shared" si="75"/>
        <v>0</v>
      </c>
      <c r="CX89" s="23"/>
      <c r="CY89" s="23"/>
      <c r="CZ89" s="23"/>
      <c r="DA89" s="20">
        <f t="shared" si="99"/>
        <v>0</v>
      </c>
      <c r="DB89" s="22"/>
      <c r="DC89" s="23"/>
      <c r="DD89" s="23">
        <f t="shared" si="76"/>
        <v>0</v>
      </c>
      <c r="DE89" s="23">
        <f t="shared" si="77"/>
        <v>0</v>
      </c>
      <c r="DF89" s="23">
        <f t="shared" si="78"/>
        <v>0</v>
      </c>
      <c r="DG89" s="23"/>
      <c r="DH89" s="23"/>
      <c r="DI89" s="23"/>
      <c r="DJ89" s="20">
        <f t="shared" si="100"/>
        <v>0</v>
      </c>
      <c r="DK89" s="22"/>
      <c r="DL89" s="23"/>
      <c r="DM89" s="23">
        <f t="shared" si="79"/>
        <v>0</v>
      </c>
      <c r="DN89" s="23">
        <f t="shared" si="80"/>
        <v>0</v>
      </c>
      <c r="DO89" s="23">
        <f t="shared" si="81"/>
        <v>0</v>
      </c>
      <c r="DP89" s="23"/>
      <c r="DQ89" s="23"/>
      <c r="DR89" s="23"/>
      <c r="DS89" s="20">
        <f t="shared" si="101"/>
        <v>0</v>
      </c>
      <c r="DT89" s="22"/>
      <c r="DU89" s="23"/>
      <c r="DV89" s="23">
        <f t="shared" si="82"/>
        <v>0</v>
      </c>
      <c r="DW89" s="23">
        <f t="shared" si="83"/>
        <v>0</v>
      </c>
      <c r="DX89" s="23">
        <f t="shared" si="84"/>
        <v>0</v>
      </c>
      <c r="DY89" s="23"/>
      <c r="DZ89" s="23"/>
      <c r="EA89" s="23"/>
      <c r="EB89" s="20">
        <f t="shared" si="102"/>
        <v>0</v>
      </c>
      <c r="EC89" s="22"/>
      <c r="ED89" s="23"/>
      <c r="EE89" s="23">
        <f t="shared" si="87"/>
        <v>0</v>
      </c>
      <c r="EF89" s="23">
        <f t="shared" si="85"/>
        <v>0</v>
      </c>
      <c r="EG89" s="23">
        <f t="shared" si="86"/>
        <v>0</v>
      </c>
      <c r="EH89" s="23"/>
      <c r="EI89" s="23"/>
      <c r="EJ89" s="22"/>
      <c r="EK89" s="22"/>
      <c r="EL89" s="23"/>
      <c r="EM89" s="23"/>
      <c r="EN89" s="23"/>
      <c r="EO89" s="23"/>
      <c r="EP89" s="23"/>
      <c r="EQ89" s="22"/>
      <c r="ER89" s="22"/>
      <c r="ES89" s="23"/>
      <c r="ET89" s="23"/>
      <c r="EU89" s="23"/>
      <c r="EV89" s="23"/>
    </row>
    <row r="90" spans="1:152" ht="35.25" hidden="1" customHeight="1" thickBot="1" x14ac:dyDescent="0.25">
      <c r="A90" s="32" t="s">
        <v>9</v>
      </c>
      <c r="B90" s="33" t="e">
        <f>(SUM(B75:B89))/$EN$73</f>
        <v>#DIV/0!</v>
      </c>
      <c r="C90" s="33" t="e">
        <f>(SUM(C75:C89))/$EN$73</f>
        <v>#DIV/0!</v>
      </c>
      <c r="D90" s="34"/>
      <c r="E90" s="33" t="e">
        <f>(SUM(E75:E89))/$EN$73</f>
        <v>#DIV/0!</v>
      </c>
      <c r="F90" s="20">
        <f t="shared" si="88"/>
        <v>0</v>
      </c>
      <c r="G90" s="22"/>
      <c r="H90" s="23"/>
      <c r="I90" s="23">
        <f t="shared" si="43"/>
        <v>0</v>
      </c>
      <c r="J90" s="23">
        <f t="shared" si="44"/>
        <v>0</v>
      </c>
      <c r="K90" s="23">
        <f t="shared" si="45"/>
        <v>0</v>
      </c>
      <c r="L90" s="23"/>
      <c r="M90" s="23"/>
      <c r="N90" s="23"/>
      <c r="O90" s="20">
        <f t="shared" si="89"/>
        <v>0</v>
      </c>
      <c r="P90" s="22"/>
      <c r="Q90" s="23"/>
      <c r="R90" s="23">
        <f t="shared" si="46"/>
        <v>0</v>
      </c>
      <c r="S90" s="23">
        <f t="shared" si="47"/>
        <v>0</v>
      </c>
      <c r="T90" s="23">
        <f t="shared" si="48"/>
        <v>0</v>
      </c>
      <c r="U90" s="23"/>
      <c r="V90" s="23"/>
      <c r="W90" s="23"/>
      <c r="X90" s="20">
        <f t="shared" si="90"/>
        <v>0</v>
      </c>
      <c r="Y90" s="22"/>
      <c r="Z90" s="23"/>
      <c r="AA90" s="23">
        <f t="shared" si="49"/>
        <v>0</v>
      </c>
      <c r="AB90" s="23">
        <f t="shared" si="50"/>
        <v>0</v>
      </c>
      <c r="AC90" s="23">
        <f t="shared" si="51"/>
        <v>0</v>
      </c>
      <c r="AD90" s="23"/>
      <c r="AE90" s="23"/>
      <c r="AF90" s="23"/>
      <c r="AG90" s="20">
        <f t="shared" si="91"/>
        <v>0</v>
      </c>
      <c r="AH90" s="22"/>
      <c r="AI90" s="23"/>
      <c r="AJ90" s="23">
        <f t="shared" si="52"/>
        <v>0</v>
      </c>
      <c r="AK90" s="23">
        <f t="shared" si="53"/>
        <v>0</v>
      </c>
      <c r="AL90" s="23">
        <f t="shared" si="54"/>
        <v>0</v>
      </c>
      <c r="AM90" s="23"/>
      <c r="AN90" s="23"/>
      <c r="AO90" s="23"/>
      <c r="AP90" s="20">
        <f t="shared" si="92"/>
        <v>0</v>
      </c>
      <c r="AQ90" s="22"/>
      <c r="AR90" s="23"/>
      <c r="AS90" s="23">
        <f t="shared" si="55"/>
        <v>0</v>
      </c>
      <c r="AT90" s="23">
        <f t="shared" si="56"/>
        <v>0</v>
      </c>
      <c r="AU90" s="23">
        <f t="shared" si="57"/>
        <v>0</v>
      </c>
      <c r="AV90" s="23"/>
      <c r="AW90" s="23"/>
      <c r="AX90" s="23"/>
      <c r="AY90" s="20">
        <f t="shared" si="93"/>
        <v>0</v>
      </c>
      <c r="AZ90" s="22"/>
      <c r="BA90" s="23"/>
      <c r="BB90" s="23">
        <f t="shared" si="58"/>
        <v>0</v>
      </c>
      <c r="BC90" s="23">
        <f t="shared" si="59"/>
        <v>0</v>
      </c>
      <c r="BD90" s="23">
        <f t="shared" si="60"/>
        <v>0</v>
      </c>
      <c r="BE90" s="23"/>
      <c r="BF90" s="23"/>
      <c r="BG90" s="23"/>
      <c r="BH90" s="20">
        <f t="shared" si="94"/>
        <v>0</v>
      </c>
      <c r="BI90" s="22"/>
      <c r="BJ90" s="23"/>
      <c r="BK90" s="23">
        <f t="shared" si="61"/>
        <v>0</v>
      </c>
      <c r="BL90" s="23">
        <f t="shared" si="62"/>
        <v>0</v>
      </c>
      <c r="BM90" s="23">
        <f t="shared" si="63"/>
        <v>0</v>
      </c>
      <c r="BN90" s="23"/>
      <c r="BO90" s="23"/>
      <c r="BP90" s="23"/>
      <c r="BQ90" s="20">
        <f t="shared" si="95"/>
        <v>0</v>
      </c>
      <c r="BR90" s="22"/>
      <c r="BS90" s="23"/>
      <c r="BT90" s="23">
        <f t="shared" si="64"/>
        <v>0</v>
      </c>
      <c r="BU90" s="23">
        <f t="shared" si="65"/>
        <v>0</v>
      </c>
      <c r="BV90" s="23">
        <f t="shared" si="66"/>
        <v>0</v>
      </c>
      <c r="BW90" s="23"/>
      <c r="BX90" s="23"/>
      <c r="BY90" s="23"/>
      <c r="BZ90" s="20">
        <f t="shared" si="96"/>
        <v>0</v>
      </c>
      <c r="CA90" s="22"/>
      <c r="CB90" s="23"/>
      <c r="CC90" s="23">
        <f t="shared" si="67"/>
        <v>0</v>
      </c>
      <c r="CD90" s="23">
        <f t="shared" si="68"/>
        <v>0</v>
      </c>
      <c r="CE90" s="23">
        <f t="shared" si="69"/>
        <v>0</v>
      </c>
      <c r="CF90" s="23"/>
      <c r="CG90" s="23"/>
      <c r="CH90" s="23"/>
      <c r="CI90" s="20">
        <f t="shared" si="97"/>
        <v>0</v>
      </c>
      <c r="CJ90" s="22"/>
      <c r="CK90" s="23"/>
      <c r="CL90" s="23">
        <f t="shared" si="70"/>
        <v>0</v>
      </c>
      <c r="CM90" s="23">
        <f t="shared" si="71"/>
        <v>0</v>
      </c>
      <c r="CN90" s="23">
        <f t="shared" si="72"/>
        <v>0</v>
      </c>
      <c r="CO90" s="23"/>
      <c r="CP90" s="23"/>
      <c r="CQ90" s="23"/>
      <c r="CR90" s="20">
        <f t="shared" si="98"/>
        <v>0</v>
      </c>
      <c r="CS90" s="22"/>
      <c r="CT90" s="23"/>
      <c r="CU90" s="23">
        <f t="shared" si="73"/>
        <v>0</v>
      </c>
      <c r="CV90" s="23">
        <f t="shared" si="74"/>
        <v>0</v>
      </c>
      <c r="CW90" s="23">
        <f t="shared" si="75"/>
        <v>0</v>
      </c>
      <c r="CX90" s="23"/>
      <c r="CY90" s="23"/>
      <c r="CZ90" s="23"/>
      <c r="DA90" s="20">
        <f t="shared" si="99"/>
        <v>0</v>
      </c>
      <c r="DB90" s="22"/>
      <c r="DC90" s="23"/>
      <c r="DD90" s="23">
        <f t="shared" si="76"/>
        <v>0</v>
      </c>
      <c r="DE90" s="23">
        <f t="shared" si="77"/>
        <v>0</v>
      </c>
      <c r="DF90" s="23">
        <f t="shared" si="78"/>
        <v>0</v>
      </c>
      <c r="DG90" s="23"/>
      <c r="DH90" s="23"/>
      <c r="DI90" s="23"/>
      <c r="DJ90" s="20">
        <f t="shared" si="100"/>
        <v>0</v>
      </c>
      <c r="DK90" s="22"/>
      <c r="DL90" s="23"/>
      <c r="DM90" s="23">
        <f t="shared" si="79"/>
        <v>0</v>
      </c>
      <c r="DN90" s="23">
        <f t="shared" si="80"/>
        <v>0</v>
      </c>
      <c r="DO90" s="23">
        <f t="shared" si="81"/>
        <v>0</v>
      </c>
      <c r="DP90" s="23"/>
      <c r="DQ90" s="23"/>
      <c r="DR90" s="23"/>
      <c r="DS90" s="20">
        <f t="shared" si="101"/>
        <v>0</v>
      </c>
      <c r="DT90" s="22"/>
      <c r="DU90" s="23"/>
      <c r="DV90" s="23">
        <f t="shared" si="82"/>
        <v>0</v>
      </c>
      <c r="DW90" s="23">
        <f t="shared" si="83"/>
        <v>0</v>
      </c>
      <c r="DX90" s="23">
        <f t="shared" si="84"/>
        <v>0</v>
      </c>
      <c r="DY90" s="23"/>
      <c r="DZ90" s="23"/>
      <c r="EA90" s="23"/>
      <c r="EB90" s="20">
        <f t="shared" si="102"/>
        <v>0</v>
      </c>
      <c r="EC90" s="22"/>
      <c r="ED90" s="23"/>
      <c r="EE90" s="23">
        <f t="shared" si="87"/>
        <v>0</v>
      </c>
      <c r="EF90" s="23">
        <f t="shared" si="85"/>
        <v>0</v>
      </c>
      <c r="EG90" s="23">
        <f t="shared" si="86"/>
        <v>0</v>
      </c>
      <c r="EH90" s="23"/>
      <c r="EI90" s="23"/>
      <c r="EJ90" s="22"/>
      <c r="EK90" s="22"/>
      <c r="EL90" s="23"/>
      <c r="EM90" s="23"/>
      <c r="EN90" s="23"/>
      <c r="EO90" s="23"/>
      <c r="EP90" s="23"/>
      <c r="EQ90" s="22"/>
      <c r="ER90" s="22"/>
      <c r="ES90" s="23"/>
      <c r="ET90" s="23"/>
      <c r="EU90" s="23"/>
      <c r="EV90" s="23"/>
    </row>
    <row r="91" spans="1:152" ht="33.75" hidden="1" customHeight="1" x14ac:dyDescent="0.2">
      <c r="A91" s="19"/>
      <c r="B91" s="20"/>
      <c r="C91" s="21"/>
      <c r="D91" s="21"/>
      <c r="E91" s="23"/>
      <c r="F91" s="20">
        <f t="shared" si="88"/>
        <v>0</v>
      </c>
      <c r="G91" s="22"/>
      <c r="H91" s="23"/>
      <c r="I91" s="23">
        <f t="shared" si="43"/>
        <v>0</v>
      </c>
      <c r="J91" s="23">
        <f t="shared" si="44"/>
        <v>0</v>
      </c>
      <c r="K91" s="23">
        <f t="shared" si="45"/>
        <v>0</v>
      </c>
      <c r="L91" s="23"/>
      <c r="M91" s="23"/>
      <c r="N91" s="23"/>
      <c r="O91" s="20">
        <f t="shared" si="89"/>
        <v>0</v>
      </c>
      <c r="P91" s="22"/>
      <c r="Q91" s="23"/>
      <c r="R91" s="23">
        <f t="shared" si="46"/>
        <v>0</v>
      </c>
      <c r="S91" s="23">
        <f t="shared" si="47"/>
        <v>0</v>
      </c>
      <c r="T91" s="23">
        <f t="shared" si="48"/>
        <v>0</v>
      </c>
      <c r="U91" s="23"/>
      <c r="V91" s="23"/>
      <c r="W91" s="23"/>
      <c r="X91" s="20">
        <f t="shared" si="90"/>
        <v>0</v>
      </c>
      <c r="Y91" s="22"/>
      <c r="Z91" s="23"/>
      <c r="AA91" s="23">
        <f t="shared" si="49"/>
        <v>0</v>
      </c>
      <c r="AB91" s="23">
        <f t="shared" si="50"/>
        <v>0</v>
      </c>
      <c r="AC91" s="23">
        <f t="shared" si="51"/>
        <v>0</v>
      </c>
      <c r="AD91" s="23"/>
      <c r="AE91" s="23"/>
      <c r="AF91" s="23"/>
      <c r="AG91" s="20">
        <f t="shared" si="91"/>
        <v>0</v>
      </c>
      <c r="AH91" s="22"/>
      <c r="AI91" s="23"/>
      <c r="AJ91" s="23">
        <f t="shared" si="52"/>
        <v>0</v>
      </c>
      <c r="AK91" s="23">
        <f t="shared" si="53"/>
        <v>0</v>
      </c>
      <c r="AL91" s="23">
        <f t="shared" si="54"/>
        <v>0</v>
      </c>
      <c r="AM91" s="23"/>
      <c r="AN91" s="23"/>
      <c r="AO91" s="23"/>
      <c r="AP91" s="20">
        <f t="shared" si="92"/>
        <v>0</v>
      </c>
      <c r="AQ91" s="22"/>
      <c r="AR91" s="23"/>
      <c r="AS91" s="23">
        <f t="shared" si="55"/>
        <v>0</v>
      </c>
      <c r="AT91" s="23">
        <f t="shared" si="56"/>
        <v>0</v>
      </c>
      <c r="AU91" s="23">
        <f t="shared" si="57"/>
        <v>0</v>
      </c>
      <c r="AV91" s="23"/>
      <c r="AW91" s="23"/>
      <c r="AX91" s="23"/>
      <c r="AY91" s="20">
        <f t="shared" si="93"/>
        <v>0</v>
      </c>
      <c r="AZ91" s="22"/>
      <c r="BA91" s="23"/>
      <c r="BB91" s="23">
        <f t="shared" si="58"/>
        <v>0</v>
      </c>
      <c r="BC91" s="23">
        <f t="shared" si="59"/>
        <v>0</v>
      </c>
      <c r="BD91" s="23">
        <f t="shared" si="60"/>
        <v>0</v>
      </c>
      <c r="BE91" s="23"/>
      <c r="BF91" s="23"/>
      <c r="BG91" s="23"/>
      <c r="BH91" s="20">
        <f t="shared" si="94"/>
        <v>0</v>
      </c>
      <c r="BI91" s="22"/>
      <c r="BJ91" s="23"/>
      <c r="BK91" s="23">
        <f t="shared" si="61"/>
        <v>0</v>
      </c>
      <c r="BL91" s="23">
        <f t="shared" si="62"/>
        <v>0</v>
      </c>
      <c r="BM91" s="23">
        <f t="shared" si="63"/>
        <v>0</v>
      </c>
      <c r="BN91" s="23"/>
      <c r="BO91" s="23"/>
      <c r="BP91" s="23"/>
      <c r="BQ91" s="20">
        <f t="shared" si="95"/>
        <v>0</v>
      </c>
      <c r="BR91" s="22"/>
      <c r="BS91" s="23"/>
      <c r="BT91" s="23">
        <f t="shared" si="64"/>
        <v>0</v>
      </c>
      <c r="BU91" s="23">
        <f t="shared" si="65"/>
        <v>0</v>
      </c>
      <c r="BV91" s="23">
        <f t="shared" si="66"/>
        <v>0</v>
      </c>
      <c r="BW91" s="23"/>
      <c r="BX91" s="23"/>
      <c r="BY91" s="23"/>
      <c r="BZ91" s="20">
        <f t="shared" si="96"/>
        <v>0</v>
      </c>
      <c r="CA91" s="22"/>
      <c r="CB91" s="23"/>
      <c r="CC91" s="23">
        <f t="shared" si="67"/>
        <v>0</v>
      </c>
      <c r="CD91" s="23">
        <f t="shared" si="68"/>
        <v>0</v>
      </c>
      <c r="CE91" s="23">
        <f t="shared" si="69"/>
        <v>0</v>
      </c>
      <c r="CF91" s="23"/>
      <c r="CG91" s="23"/>
      <c r="CH91" s="23"/>
      <c r="CI91" s="20">
        <f t="shared" si="97"/>
        <v>0</v>
      </c>
      <c r="CJ91" s="22"/>
      <c r="CK91" s="23"/>
      <c r="CL91" s="23">
        <f t="shared" si="70"/>
        <v>0</v>
      </c>
      <c r="CM91" s="23">
        <f t="shared" si="71"/>
        <v>0</v>
      </c>
      <c r="CN91" s="23">
        <f t="shared" si="72"/>
        <v>0</v>
      </c>
      <c r="CO91" s="23"/>
      <c r="CP91" s="23"/>
      <c r="CQ91" s="23"/>
      <c r="CR91" s="20">
        <f t="shared" si="98"/>
        <v>0</v>
      </c>
      <c r="CS91" s="22"/>
      <c r="CT91" s="23"/>
      <c r="CU91" s="23">
        <f t="shared" si="73"/>
        <v>0</v>
      </c>
      <c r="CV91" s="23">
        <f t="shared" si="74"/>
        <v>0</v>
      </c>
      <c r="CW91" s="23">
        <f t="shared" si="75"/>
        <v>0</v>
      </c>
      <c r="CX91" s="23"/>
      <c r="CY91" s="23"/>
      <c r="CZ91" s="23"/>
      <c r="DA91" s="20">
        <f t="shared" si="99"/>
        <v>0</v>
      </c>
      <c r="DB91" s="22"/>
      <c r="DC91" s="23"/>
      <c r="DD91" s="23">
        <f t="shared" si="76"/>
        <v>0</v>
      </c>
      <c r="DE91" s="23">
        <f t="shared" si="77"/>
        <v>0</v>
      </c>
      <c r="DF91" s="23">
        <f t="shared" si="78"/>
        <v>0</v>
      </c>
      <c r="DG91" s="23"/>
      <c r="DH91" s="23"/>
      <c r="DI91" s="23"/>
      <c r="DJ91" s="20">
        <f t="shared" si="100"/>
        <v>0</v>
      </c>
      <c r="DK91" s="22"/>
      <c r="DL91" s="23"/>
      <c r="DM91" s="23">
        <f t="shared" si="79"/>
        <v>0</v>
      </c>
      <c r="DN91" s="23">
        <f t="shared" si="80"/>
        <v>0</v>
      </c>
      <c r="DO91" s="23">
        <f t="shared" si="81"/>
        <v>0</v>
      </c>
      <c r="DP91" s="23"/>
      <c r="DQ91" s="23"/>
      <c r="DR91" s="23"/>
      <c r="DS91" s="20">
        <f t="shared" si="101"/>
        <v>0</v>
      </c>
      <c r="DT91" s="22"/>
      <c r="DU91" s="23"/>
      <c r="DV91" s="23">
        <f t="shared" si="82"/>
        <v>0</v>
      </c>
      <c r="DW91" s="23">
        <f t="shared" si="83"/>
        <v>0</v>
      </c>
      <c r="DX91" s="23">
        <f t="shared" si="84"/>
        <v>0</v>
      </c>
      <c r="DY91" s="23"/>
      <c r="DZ91" s="23"/>
      <c r="EA91" s="23"/>
      <c r="EB91" s="20">
        <f t="shared" si="102"/>
        <v>0</v>
      </c>
      <c r="EC91" s="22"/>
      <c r="ED91" s="23"/>
      <c r="EE91" s="23">
        <f t="shared" si="87"/>
        <v>0</v>
      </c>
      <c r="EF91" s="23">
        <f t="shared" si="85"/>
        <v>0</v>
      </c>
      <c r="EG91" s="23">
        <f t="shared" si="86"/>
        <v>0</v>
      </c>
      <c r="EH91" s="23"/>
      <c r="EI91" s="23"/>
      <c r="EJ91" s="22"/>
      <c r="EK91" s="22"/>
      <c r="EL91" s="23"/>
      <c r="EM91" s="23"/>
      <c r="EN91" s="23"/>
      <c r="EO91" s="23"/>
      <c r="EP91" s="23"/>
      <c r="EQ91" s="22"/>
      <c r="ER91" s="22"/>
      <c r="ES91" s="23"/>
      <c r="ET91" s="23"/>
      <c r="EU91" s="23"/>
      <c r="EV91" s="23"/>
    </row>
    <row r="92" spans="1:152" ht="33" hidden="1" customHeight="1" x14ac:dyDescent="0.2">
      <c r="A92" s="19"/>
      <c r="B92" s="20"/>
      <c r="C92" s="21"/>
      <c r="D92" s="21"/>
      <c r="E92" s="23"/>
      <c r="F92" s="20">
        <f t="shared" si="88"/>
        <v>0</v>
      </c>
      <c r="G92" s="22"/>
      <c r="H92" s="23"/>
      <c r="I92" s="23">
        <f t="shared" si="43"/>
        <v>0</v>
      </c>
      <c r="J92" s="23">
        <f t="shared" si="44"/>
        <v>0</v>
      </c>
      <c r="K92" s="23">
        <f t="shared" si="45"/>
        <v>0</v>
      </c>
      <c r="L92" s="23"/>
      <c r="M92" s="23"/>
      <c r="N92" s="23"/>
      <c r="O92" s="20">
        <f t="shared" si="89"/>
        <v>0</v>
      </c>
      <c r="P92" s="22"/>
      <c r="Q92" s="23"/>
      <c r="R92" s="23">
        <f t="shared" si="46"/>
        <v>0</v>
      </c>
      <c r="S92" s="23">
        <f t="shared" si="47"/>
        <v>0</v>
      </c>
      <c r="T92" s="23">
        <f t="shared" si="48"/>
        <v>0</v>
      </c>
      <c r="U92" s="23"/>
      <c r="V92" s="23"/>
      <c r="W92" s="23"/>
      <c r="X92" s="20">
        <f t="shared" si="90"/>
        <v>0</v>
      </c>
      <c r="Y92" s="22"/>
      <c r="Z92" s="23"/>
      <c r="AA92" s="23">
        <f t="shared" si="49"/>
        <v>0</v>
      </c>
      <c r="AB92" s="23">
        <f t="shared" si="50"/>
        <v>0</v>
      </c>
      <c r="AC92" s="23">
        <f t="shared" si="51"/>
        <v>0</v>
      </c>
      <c r="AD92" s="23"/>
      <c r="AE92" s="23"/>
      <c r="AF92" s="23"/>
      <c r="AG92" s="20">
        <f t="shared" si="91"/>
        <v>0</v>
      </c>
      <c r="AH92" s="22"/>
      <c r="AI92" s="23"/>
      <c r="AJ92" s="23">
        <f t="shared" si="52"/>
        <v>0</v>
      </c>
      <c r="AK92" s="23">
        <f t="shared" si="53"/>
        <v>0</v>
      </c>
      <c r="AL92" s="23">
        <f t="shared" si="54"/>
        <v>0</v>
      </c>
      <c r="AM92" s="23"/>
      <c r="AN92" s="23"/>
      <c r="AO92" s="23"/>
      <c r="AP92" s="20">
        <f t="shared" si="92"/>
        <v>0</v>
      </c>
      <c r="AQ92" s="22"/>
      <c r="AR92" s="23"/>
      <c r="AS92" s="23">
        <f t="shared" si="55"/>
        <v>0</v>
      </c>
      <c r="AT92" s="23">
        <f t="shared" si="56"/>
        <v>0</v>
      </c>
      <c r="AU92" s="23">
        <f t="shared" si="57"/>
        <v>0</v>
      </c>
      <c r="AV92" s="23"/>
      <c r="AW92" s="23"/>
      <c r="AX92" s="23"/>
      <c r="AY92" s="20">
        <f t="shared" si="93"/>
        <v>0</v>
      </c>
      <c r="AZ92" s="22"/>
      <c r="BA92" s="23"/>
      <c r="BB92" s="23">
        <f t="shared" si="58"/>
        <v>0</v>
      </c>
      <c r="BC92" s="23">
        <f t="shared" si="59"/>
        <v>0</v>
      </c>
      <c r="BD92" s="23">
        <f t="shared" si="60"/>
        <v>0</v>
      </c>
      <c r="BE92" s="23"/>
      <c r="BF92" s="23"/>
      <c r="BG92" s="23"/>
      <c r="BH92" s="20">
        <f t="shared" si="94"/>
        <v>0</v>
      </c>
      <c r="BI92" s="22"/>
      <c r="BJ92" s="23"/>
      <c r="BK92" s="23">
        <f t="shared" si="61"/>
        <v>0</v>
      </c>
      <c r="BL92" s="23">
        <f t="shared" si="62"/>
        <v>0</v>
      </c>
      <c r="BM92" s="23">
        <f t="shared" si="63"/>
        <v>0</v>
      </c>
      <c r="BN92" s="23"/>
      <c r="BO92" s="23"/>
      <c r="BP92" s="23"/>
      <c r="BQ92" s="20">
        <f t="shared" si="95"/>
        <v>0</v>
      </c>
      <c r="BR92" s="22"/>
      <c r="BS92" s="23"/>
      <c r="BT92" s="23">
        <f t="shared" si="64"/>
        <v>0</v>
      </c>
      <c r="BU92" s="23">
        <f t="shared" si="65"/>
        <v>0</v>
      </c>
      <c r="BV92" s="23">
        <f t="shared" si="66"/>
        <v>0</v>
      </c>
      <c r="BW92" s="23"/>
      <c r="BX92" s="23"/>
      <c r="BY92" s="23"/>
      <c r="BZ92" s="20">
        <f t="shared" si="96"/>
        <v>0</v>
      </c>
      <c r="CA92" s="22"/>
      <c r="CB92" s="23"/>
      <c r="CC92" s="23">
        <f t="shared" si="67"/>
        <v>0</v>
      </c>
      <c r="CD92" s="23">
        <f t="shared" si="68"/>
        <v>0</v>
      </c>
      <c r="CE92" s="23">
        <f t="shared" si="69"/>
        <v>0</v>
      </c>
      <c r="CF92" s="23"/>
      <c r="CG92" s="23"/>
      <c r="CH92" s="23"/>
      <c r="CI92" s="20">
        <f t="shared" si="97"/>
        <v>0</v>
      </c>
      <c r="CJ92" s="22"/>
      <c r="CK92" s="23"/>
      <c r="CL92" s="23">
        <f t="shared" si="70"/>
        <v>0</v>
      </c>
      <c r="CM92" s="23">
        <f t="shared" si="71"/>
        <v>0</v>
      </c>
      <c r="CN92" s="23">
        <f t="shared" si="72"/>
        <v>0</v>
      </c>
      <c r="CO92" s="23"/>
      <c r="CP92" s="23"/>
      <c r="CQ92" s="23"/>
      <c r="CR92" s="20">
        <f t="shared" si="98"/>
        <v>0</v>
      </c>
      <c r="CS92" s="22"/>
      <c r="CT92" s="23"/>
      <c r="CU92" s="23">
        <f t="shared" si="73"/>
        <v>0</v>
      </c>
      <c r="CV92" s="23">
        <f t="shared" si="74"/>
        <v>0</v>
      </c>
      <c r="CW92" s="23">
        <f t="shared" si="75"/>
        <v>0</v>
      </c>
      <c r="CX92" s="23"/>
      <c r="CY92" s="23"/>
      <c r="CZ92" s="23"/>
      <c r="DA92" s="20">
        <f t="shared" si="99"/>
        <v>0</v>
      </c>
      <c r="DB92" s="22"/>
      <c r="DC92" s="23"/>
      <c r="DD92" s="23">
        <f t="shared" si="76"/>
        <v>0</v>
      </c>
      <c r="DE92" s="23">
        <f t="shared" si="77"/>
        <v>0</v>
      </c>
      <c r="DF92" s="23">
        <f t="shared" si="78"/>
        <v>0</v>
      </c>
      <c r="DG92" s="23"/>
      <c r="DH92" s="23"/>
      <c r="DI92" s="23"/>
      <c r="DJ92" s="20">
        <f t="shared" si="100"/>
        <v>0</v>
      </c>
      <c r="DK92" s="22"/>
      <c r="DL92" s="23"/>
      <c r="DM92" s="23">
        <f t="shared" si="79"/>
        <v>0</v>
      </c>
      <c r="DN92" s="23">
        <f t="shared" si="80"/>
        <v>0</v>
      </c>
      <c r="DO92" s="23">
        <f t="shared" si="81"/>
        <v>0</v>
      </c>
      <c r="DP92" s="23"/>
      <c r="DQ92" s="23"/>
      <c r="DR92" s="23"/>
      <c r="DS92" s="20">
        <f t="shared" si="101"/>
        <v>0</v>
      </c>
      <c r="DT92" s="22"/>
      <c r="DU92" s="23"/>
      <c r="DV92" s="23">
        <f t="shared" si="82"/>
        <v>0</v>
      </c>
      <c r="DW92" s="23">
        <f t="shared" si="83"/>
        <v>0</v>
      </c>
      <c r="DX92" s="23">
        <f t="shared" si="84"/>
        <v>0</v>
      </c>
      <c r="DY92" s="23"/>
      <c r="DZ92" s="23"/>
      <c r="EA92" s="23"/>
      <c r="EB92" s="20">
        <f t="shared" si="102"/>
        <v>0</v>
      </c>
      <c r="EC92" s="22"/>
      <c r="ED92" s="23"/>
      <c r="EE92" s="23">
        <f t="shared" si="87"/>
        <v>0</v>
      </c>
      <c r="EF92" s="23">
        <f t="shared" si="85"/>
        <v>0</v>
      </c>
      <c r="EG92" s="23">
        <f t="shared" si="86"/>
        <v>0</v>
      </c>
      <c r="EH92" s="23"/>
      <c r="EI92" s="23"/>
      <c r="EJ92" s="22"/>
      <c r="EK92" s="22"/>
      <c r="EL92" s="23"/>
      <c r="EM92" s="23"/>
      <c r="EN92" s="23"/>
      <c r="EO92" s="23"/>
      <c r="EP92" s="23"/>
      <c r="EQ92" s="22"/>
      <c r="ER92" s="22"/>
      <c r="ES92" s="23"/>
      <c r="ET92" s="23"/>
      <c r="EU92" s="23"/>
      <c r="EV92" s="23"/>
    </row>
    <row r="93" spans="1:152" ht="36" hidden="1" customHeight="1" x14ac:dyDescent="0.2">
      <c r="A93" s="19"/>
      <c r="B93" s="20"/>
      <c r="C93" s="21"/>
      <c r="D93" s="21"/>
      <c r="E93" s="23"/>
      <c r="F93" s="20">
        <f t="shared" si="88"/>
        <v>0</v>
      </c>
      <c r="G93" s="22"/>
      <c r="H93" s="23"/>
      <c r="I93" s="23">
        <f t="shared" si="43"/>
        <v>0</v>
      </c>
      <c r="J93" s="23">
        <f t="shared" si="44"/>
        <v>0</v>
      </c>
      <c r="K93" s="23">
        <f t="shared" si="45"/>
        <v>0</v>
      </c>
      <c r="L93" s="23"/>
      <c r="M93" s="23"/>
      <c r="N93" s="23"/>
      <c r="O93" s="20">
        <f t="shared" si="89"/>
        <v>0</v>
      </c>
      <c r="P93" s="22"/>
      <c r="Q93" s="23"/>
      <c r="R93" s="23">
        <f t="shared" si="46"/>
        <v>0</v>
      </c>
      <c r="S93" s="23">
        <f t="shared" si="47"/>
        <v>0</v>
      </c>
      <c r="T93" s="23">
        <f t="shared" si="48"/>
        <v>0</v>
      </c>
      <c r="U93" s="23"/>
      <c r="V93" s="23"/>
      <c r="W93" s="23"/>
      <c r="X93" s="20">
        <f t="shared" si="90"/>
        <v>0</v>
      </c>
      <c r="Y93" s="22"/>
      <c r="Z93" s="23"/>
      <c r="AA93" s="23">
        <f t="shared" si="49"/>
        <v>0</v>
      </c>
      <c r="AB93" s="23">
        <f t="shared" si="50"/>
        <v>0</v>
      </c>
      <c r="AC93" s="23">
        <f t="shared" si="51"/>
        <v>0</v>
      </c>
      <c r="AD93" s="23"/>
      <c r="AE93" s="23"/>
      <c r="AF93" s="23"/>
      <c r="AG93" s="20">
        <f t="shared" si="91"/>
        <v>0</v>
      </c>
      <c r="AH93" s="22"/>
      <c r="AI93" s="23"/>
      <c r="AJ93" s="23">
        <f t="shared" si="52"/>
        <v>0</v>
      </c>
      <c r="AK93" s="23">
        <f t="shared" si="53"/>
        <v>0</v>
      </c>
      <c r="AL93" s="23">
        <f t="shared" si="54"/>
        <v>0</v>
      </c>
      <c r="AM93" s="23"/>
      <c r="AN93" s="23"/>
      <c r="AO93" s="23"/>
      <c r="AP93" s="20">
        <f t="shared" si="92"/>
        <v>0</v>
      </c>
      <c r="AQ93" s="22"/>
      <c r="AR93" s="23"/>
      <c r="AS93" s="23">
        <f t="shared" si="55"/>
        <v>0</v>
      </c>
      <c r="AT93" s="23">
        <f t="shared" si="56"/>
        <v>0</v>
      </c>
      <c r="AU93" s="23">
        <f t="shared" si="57"/>
        <v>0</v>
      </c>
      <c r="AV93" s="23"/>
      <c r="AW93" s="23"/>
      <c r="AX93" s="23"/>
      <c r="AY93" s="20">
        <f t="shared" si="93"/>
        <v>0</v>
      </c>
      <c r="AZ93" s="22"/>
      <c r="BA93" s="23"/>
      <c r="BB93" s="23">
        <f t="shared" si="58"/>
        <v>0</v>
      </c>
      <c r="BC93" s="23">
        <f t="shared" si="59"/>
        <v>0</v>
      </c>
      <c r="BD93" s="23">
        <f t="shared" si="60"/>
        <v>0</v>
      </c>
      <c r="BE93" s="23"/>
      <c r="BF93" s="23"/>
      <c r="BG93" s="23"/>
      <c r="BH93" s="20">
        <f t="shared" si="94"/>
        <v>0</v>
      </c>
      <c r="BI93" s="22"/>
      <c r="BJ93" s="23"/>
      <c r="BK93" s="23">
        <f t="shared" si="61"/>
        <v>0</v>
      </c>
      <c r="BL93" s="23">
        <f t="shared" si="62"/>
        <v>0</v>
      </c>
      <c r="BM93" s="23">
        <f t="shared" si="63"/>
        <v>0</v>
      </c>
      <c r="BN93" s="23"/>
      <c r="BO93" s="23"/>
      <c r="BP93" s="23"/>
      <c r="BQ93" s="20">
        <f t="shared" si="95"/>
        <v>0</v>
      </c>
      <c r="BR93" s="22"/>
      <c r="BS93" s="23"/>
      <c r="BT93" s="23">
        <f t="shared" si="64"/>
        <v>0</v>
      </c>
      <c r="BU93" s="23">
        <f t="shared" si="65"/>
        <v>0</v>
      </c>
      <c r="BV93" s="23">
        <f t="shared" si="66"/>
        <v>0</v>
      </c>
      <c r="BW93" s="23"/>
      <c r="BX93" s="23"/>
      <c r="BY93" s="23"/>
      <c r="BZ93" s="20">
        <f t="shared" si="96"/>
        <v>0</v>
      </c>
      <c r="CA93" s="22"/>
      <c r="CB93" s="23"/>
      <c r="CC93" s="23">
        <f t="shared" si="67"/>
        <v>0</v>
      </c>
      <c r="CD93" s="23">
        <f t="shared" si="68"/>
        <v>0</v>
      </c>
      <c r="CE93" s="23">
        <f t="shared" si="69"/>
        <v>0</v>
      </c>
      <c r="CF93" s="23"/>
      <c r="CG93" s="23"/>
      <c r="CH93" s="23"/>
      <c r="CI93" s="20">
        <f t="shared" si="97"/>
        <v>0</v>
      </c>
      <c r="CJ93" s="22"/>
      <c r="CK93" s="23"/>
      <c r="CL93" s="23">
        <f t="shared" si="70"/>
        <v>0</v>
      </c>
      <c r="CM93" s="23">
        <f t="shared" si="71"/>
        <v>0</v>
      </c>
      <c r="CN93" s="23">
        <f t="shared" si="72"/>
        <v>0</v>
      </c>
      <c r="CO93" s="23"/>
      <c r="CP93" s="23"/>
      <c r="CQ93" s="23"/>
      <c r="CR93" s="20">
        <f t="shared" si="98"/>
        <v>0</v>
      </c>
      <c r="CS93" s="22"/>
      <c r="CT93" s="23"/>
      <c r="CU93" s="23">
        <f t="shared" si="73"/>
        <v>0</v>
      </c>
      <c r="CV93" s="23">
        <f t="shared" si="74"/>
        <v>0</v>
      </c>
      <c r="CW93" s="23">
        <f t="shared" si="75"/>
        <v>0</v>
      </c>
      <c r="CX93" s="23"/>
      <c r="CY93" s="23"/>
      <c r="CZ93" s="23"/>
      <c r="DA93" s="20">
        <f t="shared" si="99"/>
        <v>0</v>
      </c>
      <c r="DB93" s="22"/>
      <c r="DC93" s="23"/>
      <c r="DD93" s="23">
        <f t="shared" si="76"/>
        <v>0</v>
      </c>
      <c r="DE93" s="23">
        <f t="shared" si="77"/>
        <v>0</v>
      </c>
      <c r="DF93" s="23">
        <f t="shared" si="78"/>
        <v>0</v>
      </c>
      <c r="DG93" s="23"/>
      <c r="DH93" s="23"/>
      <c r="DI93" s="23"/>
      <c r="DJ93" s="20">
        <f t="shared" si="100"/>
        <v>0</v>
      </c>
      <c r="DK93" s="22"/>
      <c r="DL93" s="23"/>
      <c r="DM93" s="23">
        <f t="shared" si="79"/>
        <v>0</v>
      </c>
      <c r="DN93" s="23">
        <f t="shared" si="80"/>
        <v>0</v>
      </c>
      <c r="DO93" s="23">
        <f t="shared" si="81"/>
        <v>0</v>
      </c>
      <c r="DP93" s="23"/>
      <c r="DQ93" s="23"/>
      <c r="DR93" s="23"/>
      <c r="DS93" s="20">
        <f t="shared" si="101"/>
        <v>0</v>
      </c>
      <c r="DT93" s="22"/>
      <c r="DU93" s="23"/>
      <c r="DV93" s="23">
        <f t="shared" si="82"/>
        <v>0</v>
      </c>
      <c r="DW93" s="23">
        <f t="shared" si="83"/>
        <v>0</v>
      </c>
      <c r="DX93" s="23">
        <f t="shared" si="84"/>
        <v>0</v>
      </c>
      <c r="DY93" s="23"/>
      <c r="DZ93" s="23"/>
      <c r="EA93" s="23"/>
      <c r="EB93" s="20">
        <f t="shared" si="102"/>
        <v>0</v>
      </c>
      <c r="EC93" s="22"/>
      <c r="ED93" s="23"/>
      <c r="EE93" s="23">
        <f t="shared" si="87"/>
        <v>0</v>
      </c>
      <c r="EF93" s="23">
        <f t="shared" si="85"/>
        <v>0</v>
      </c>
      <c r="EG93" s="23">
        <f t="shared" si="86"/>
        <v>0</v>
      </c>
      <c r="EH93" s="23"/>
      <c r="EI93" s="23"/>
      <c r="EJ93" s="22"/>
      <c r="EK93" s="22"/>
      <c r="EL93" s="23"/>
      <c r="EM93" s="23"/>
      <c r="EN93" s="23"/>
      <c r="EO93" s="23"/>
      <c r="EP93" s="23"/>
      <c r="EQ93" s="22"/>
      <c r="ER93" s="22"/>
      <c r="ES93" s="23"/>
      <c r="ET93" s="23"/>
      <c r="EU93" s="23"/>
      <c r="EV93" s="23"/>
    </row>
    <row r="94" spans="1:152" ht="31.5" hidden="1" customHeight="1" x14ac:dyDescent="0.2">
      <c r="A94" s="19"/>
      <c r="B94" s="20"/>
      <c r="C94" s="21"/>
      <c r="D94" s="21"/>
      <c r="E94" s="23"/>
      <c r="F94" s="20">
        <f t="shared" si="88"/>
        <v>0</v>
      </c>
      <c r="G94" s="22"/>
      <c r="H94" s="23"/>
      <c r="I94" s="23">
        <f t="shared" si="43"/>
        <v>0</v>
      </c>
      <c r="J94" s="23">
        <f t="shared" si="44"/>
        <v>0</v>
      </c>
      <c r="K94" s="23">
        <f t="shared" si="45"/>
        <v>0</v>
      </c>
      <c r="L94" s="23"/>
      <c r="M94" s="23"/>
      <c r="N94" s="23"/>
      <c r="O94" s="20">
        <f t="shared" si="89"/>
        <v>0</v>
      </c>
      <c r="P94" s="22"/>
      <c r="Q94" s="23"/>
      <c r="R94" s="23">
        <f t="shared" si="46"/>
        <v>0</v>
      </c>
      <c r="S94" s="23">
        <f t="shared" si="47"/>
        <v>0</v>
      </c>
      <c r="T94" s="23">
        <f t="shared" si="48"/>
        <v>0</v>
      </c>
      <c r="U94" s="23"/>
      <c r="V94" s="23"/>
      <c r="W94" s="23"/>
      <c r="X94" s="20">
        <f t="shared" si="90"/>
        <v>0</v>
      </c>
      <c r="Y94" s="22"/>
      <c r="Z94" s="23"/>
      <c r="AA94" s="23">
        <f t="shared" si="49"/>
        <v>0</v>
      </c>
      <c r="AB94" s="23">
        <f t="shared" si="50"/>
        <v>0</v>
      </c>
      <c r="AC94" s="23">
        <f t="shared" si="51"/>
        <v>0</v>
      </c>
      <c r="AD94" s="23"/>
      <c r="AE94" s="23"/>
      <c r="AF94" s="23"/>
      <c r="AG94" s="20">
        <f t="shared" si="91"/>
        <v>0</v>
      </c>
      <c r="AH94" s="22"/>
      <c r="AI94" s="23"/>
      <c r="AJ94" s="23">
        <f t="shared" si="52"/>
        <v>0</v>
      </c>
      <c r="AK94" s="23">
        <f t="shared" si="53"/>
        <v>0</v>
      </c>
      <c r="AL94" s="23">
        <f t="shared" si="54"/>
        <v>0</v>
      </c>
      <c r="AM94" s="23"/>
      <c r="AN94" s="23"/>
      <c r="AO94" s="23"/>
      <c r="AP94" s="20">
        <f t="shared" si="92"/>
        <v>0</v>
      </c>
      <c r="AQ94" s="22"/>
      <c r="AR94" s="23"/>
      <c r="AS94" s="23">
        <f t="shared" si="55"/>
        <v>0</v>
      </c>
      <c r="AT94" s="23">
        <f t="shared" si="56"/>
        <v>0</v>
      </c>
      <c r="AU94" s="23">
        <f t="shared" si="57"/>
        <v>0</v>
      </c>
      <c r="AV94" s="23"/>
      <c r="AW94" s="23"/>
      <c r="AX94" s="23"/>
      <c r="AY94" s="20">
        <f t="shared" si="93"/>
        <v>0</v>
      </c>
      <c r="AZ94" s="22"/>
      <c r="BA94" s="23"/>
      <c r="BB94" s="23">
        <f t="shared" si="58"/>
        <v>0</v>
      </c>
      <c r="BC94" s="23">
        <f t="shared" si="59"/>
        <v>0</v>
      </c>
      <c r="BD94" s="23">
        <f t="shared" si="60"/>
        <v>0</v>
      </c>
      <c r="BE94" s="23"/>
      <c r="BF94" s="23"/>
      <c r="BG94" s="23"/>
      <c r="BH94" s="20">
        <f t="shared" si="94"/>
        <v>0</v>
      </c>
      <c r="BI94" s="22"/>
      <c r="BJ94" s="23"/>
      <c r="BK94" s="23">
        <f t="shared" si="61"/>
        <v>0</v>
      </c>
      <c r="BL94" s="23">
        <f t="shared" si="62"/>
        <v>0</v>
      </c>
      <c r="BM94" s="23">
        <f t="shared" si="63"/>
        <v>0</v>
      </c>
      <c r="BN94" s="23"/>
      <c r="BO94" s="23"/>
      <c r="BP94" s="23"/>
      <c r="BQ94" s="20">
        <f t="shared" si="95"/>
        <v>0</v>
      </c>
      <c r="BR94" s="22"/>
      <c r="BS94" s="23"/>
      <c r="BT94" s="23">
        <f t="shared" si="64"/>
        <v>0</v>
      </c>
      <c r="BU94" s="23">
        <f t="shared" si="65"/>
        <v>0</v>
      </c>
      <c r="BV94" s="23">
        <f t="shared" si="66"/>
        <v>0</v>
      </c>
      <c r="BW94" s="23"/>
      <c r="BX94" s="23"/>
      <c r="BY94" s="23"/>
      <c r="BZ94" s="20">
        <f t="shared" si="96"/>
        <v>0</v>
      </c>
      <c r="CA94" s="22"/>
      <c r="CB94" s="23"/>
      <c r="CC94" s="23">
        <f t="shared" si="67"/>
        <v>0</v>
      </c>
      <c r="CD94" s="23">
        <f t="shared" si="68"/>
        <v>0</v>
      </c>
      <c r="CE94" s="23">
        <f t="shared" si="69"/>
        <v>0</v>
      </c>
      <c r="CF94" s="23"/>
      <c r="CG94" s="23"/>
      <c r="CH94" s="23"/>
      <c r="CI94" s="20">
        <f t="shared" si="97"/>
        <v>0</v>
      </c>
      <c r="CJ94" s="22"/>
      <c r="CK94" s="23"/>
      <c r="CL94" s="23">
        <f t="shared" si="70"/>
        <v>0</v>
      </c>
      <c r="CM94" s="23">
        <f t="shared" si="71"/>
        <v>0</v>
      </c>
      <c r="CN94" s="23">
        <f t="shared" si="72"/>
        <v>0</v>
      </c>
      <c r="CO94" s="23"/>
      <c r="CP94" s="23"/>
      <c r="CQ94" s="23"/>
      <c r="CR94" s="20">
        <f t="shared" si="98"/>
        <v>0</v>
      </c>
      <c r="CS94" s="22"/>
      <c r="CT94" s="23"/>
      <c r="CU94" s="23">
        <f t="shared" si="73"/>
        <v>0</v>
      </c>
      <c r="CV94" s="23">
        <f t="shared" si="74"/>
        <v>0</v>
      </c>
      <c r="CW94" s="23">
        <f t="shared" si="75"/>
        <v>0</v>
      </c>
      <c r="CX94" s="23"/>
      <c r="CY94" s="23"/>
      <c r="CZ94" s="23"/>
      <c r="DA94" s="20">
        <f t="shared" si="99"/>
        <v>0</v>
      </c>
      <c r="DB94" s="22"/>
      <c r="DC94" s="23"/>
      <c r="DD94" s="23">
        <f t="shared" si="76"/>
        <v>0</v>
      </c>
      <c r="DE94" s="23">
        <f t="shared" si="77"/>
        <v>0</v>
      </c>
      <c r="DF94" s="23">
        <f t="shared" si="78"/>
        <v>0</v>
      </c>
      <c r="DG94" s="23"/>
      <c r="DH94" s="23"/>
      <c r="DI94" s="23"/>
      <c r="DJ94" s="20">
        <f t="shared" si="100"/>
        <v>0</v>
      </c>
      <c r="DK94" s="22"/>
      <c r="DL94" s="23"/>
      <c r="DM94" s="23">
        <f t="shared" si="79"/>
        <v>0</v>
      </c>
      <c r="DN94" s="23">
        <f t="shared" si="80"/>
        <v>0</v>
      </c>
      <c r="DO94" s="23">
        <f t="shared" si="81"/>
        <v>0</v>
      </c>
      <c r="DP94" s="23"/>
      <c r="DQ94" s="23"/>
      <c r="DR94" s="23"/>
      <c r="DS94" s="20">
        <f t="shared" si="101"/>
        <v>0</v>
      </c>
      <c r="DT94" s="22"/>
      <c r="DU94" s="23"/>
      <c r="DV94" s="23">
        <f t="shared" si="82"/>
        <v>0</v>
      </c>
      <c r="DW94" s="23">
        <f t="shared" si="83"/>
        <v>0</v>
      </c>
      <c r="DX94" s="23">
        <f t="shared" si="84"/>
        <v>0</v>
      </c>
      <c r="DY94" s="23"/>
      <c r="DZ94" s="23"/>
      <c r="EA94" s="23"/>
      <c r="EB94" s="20">
        <f t="shared" si="102"/>
        <v>0</v>
      </c>
      <c r="EC94" s="22"/>
      <c r="ED94" s="23"/>
      <c r="EE94" s="23">
        <f t="shared" si="87"/>
        <v>0</v>
      </c>
      <c r="EF94" s="23">
        <f t="shared" si="85"/>
        <v>0</v>
      </c>
      <c r="EG94" s="23">
        <f t="shared" si="86"/>
        <v>0</v>
      </c>
      <c r="EH94" s="23"/>
      <c r="EI94" s="23"/>
      <c r="EJ94" s="22"/>
      <c r="EK94" s="22"/>
      <c r="EL94" s="23"/>
      <c r="EM94" s="23"/>
      <c r="EN94" s="23"/>
      <c r="EO94" s="23"/>
      <c r="EP94" s="23"/>
      <c r="EQ94" s="22"/>
      <c r="ER94" s="22"/>
      <c r="ES94" s="23"/>
      <c r="ET94" s="23"/>
      <c r="EU94" s="23"/>
      <c r="EV94" s="23"/>
    </row>
    <row r="95" spans="1:152" ht="36.75" hidden="1" customHeight="1" x14ac:dyDescent="0.2">
      <c r="A95" s="19"/>
      <c r="B95" s="20"/>
      <c r="C95" s="21"/>
      <c r="D95" s="21"/>
      <c r="E95" s="23"/>
      <c r="F95" s="20">
        <f t="shared" si="88"/>
        <v>0</v>
      </c>
      <c r="G95" s="22"/>
      <c r="H95" s="23"/>
      <c r="I95" s="23">
        <f t="shared" si="43"/>
        <v>0</v>
      </c>
      <c r="J95" s="23">
        <f t="shared" si="44"/>
        <v>0</v>
      </c>
      <c r="K95" s="23">
        <f t="shared" si="45"/>
        <v>0</v>
      </c>
      <c r="L95" s="23"/>
      <c r="M95" s="23"/>
      <c r="N95" s="23"/>
      <c r="O95" s="20">
        <f t="shared" si="89"/>
        <v>0</v>
      </c>
      <c r="P95" s="22"/>
      <c r="Q95" s="23"/>
      <c r="R95" s="23">
        <f t="shared" si="46"/>
        <v>0</v>
      </c>
      <c r="S95" s="23">
        <f t="shared" si="47"/>
        <v>0</v>
      </c>
      <c r="T95" s="23">
        <f t="shared" si="48"/>
        <v>0</v>
      </c>
      <c r="U95" s="23"/>
      <c r="V95" s="23"/>
      <c r="W95" s="23"/>
      <c r="X95" s="20">
        <f t="shared" si="90"/>
        <v>0</v>
      </c>
      <c r="Y95" s="22"/>
      <c r="Z95" s="23"/>
      <c r="AA95" s="23">
        <f t="shared" si="49"/>
        <v>0</v>
      </c>
      <c r="AB95" s="23">
        <f t="shared" si="50"/>
        <v>0</v>
      </c>
      <c r="AC95" s="23">
        <f t="shared" si="51"/>
        <v>0</v>
      </c>
      <c r="AD95" s="23"/>
      <c r="AE95" s="23"/>
      <c r="AF95" s="23"/>
      <c r="AG95" s="20">
        <f t="shared" si="91"/>
        <v>0</v>
      </c>
      <c r="AH95" s="22"/>
      <c r="AI95" s="23"/>
      <c r="AJ95" s="23">
        <f t="shared" si="52"/>
        <v>0</v>
      </c>
      <c r="AK95" s="23">
        <f t="shared" si="53"/>
        <v>0</v>
      </c>
      <c r="AL95" s="23">
        <f t="shared" si="54"/>
        <v>0</v>
      </c>
      <c r="AM95" s="23"/>
      <c r="AN95" s="23"/>
      <c r="AO95" s="23"/>
      <c r="AP95" s="20">
        <f t="shared" si="92"/>
        <v>0</v>
      </c>
      <c r="AQ95" s="22"/>
      <c r="AR95" s="23"/>
      <c r="AS95" s="23">
        <f t="shared" si="55"/>
        <v>0</v>
      </c>
      <c r="AT95" s="23">
        <f t="shared" si="56"/>
        <v>0</v>
      </c>
      <c r="AU95" s="23">
        <f t="shared" si="57"/>
        <v>0</v>
      </c>
      <c r="AV95" s="23"/>
      <c r="AW95" s="23"/>
      <c r="AX95" s="23"/>
      <c r="AY95" s="20">
        <f t="shared" si="93"/>
        <v>0</v>
      </c>
      <c r="AZ95" s="22"/>
      <c r="BA95" s="23"/>
      <c r="BB95" s="23">
        <f t="shared" si="58"/>
        <v>0</v>
      </c>
      <c r="BC95" s="23">
        <f t="shared" si="59"/>
        <v>0</v>
      </c>
      <c r="BD95" s="23">
        <f t="shared" si="60"/>
        <v>0</v>
      </c>
      <c r="BE95" s="23"/>
      <c r="BF95" s="23"/>
      <c r="BG95" s="23"/>
      <c r="BH95" s="20">
        <f t="shared" si="94"/>
        <v>0</v>
      </c>
      <c r="BI95" s="22"/>
      <c r="BJ95" s="23"/>
      <c r="BK95" s="23">
        <f t="shared" si="61"/>
        <v>0</v>
      </c>
      <c r="BL95" s="23">
        <f t="shared" si="62"/>
        <v>0</v>
      </c>
      <c r="BM95" s="23">
        <f t="shared" si="63"/>
        <v>0</v>
      </c>
      <c r="BN95" s="23"/>
      <c r="BO95" s="23"/>
      <c r="BP95" s="23"/>
      <c r="BQ95" s="20">
        <f t="shared" si="95"/>
        <v>0</v>
      </c>
      <c r="BR95" s="22"/>
      <c r="BS95" s="23"/>
      <c r="BT95" s="23">
        <f t="shared" si="64"/>
        <v>0</v>
      </c>
      <c r="BU95" s="23">
        <f t="shared" si="65"/>
        <v>0</v>
      </c>
      <c r="BV95" s="23">
        <f t="shared" si="66"/>
        <v>0</v>
      </c>
      <c r="BW95" s="23"/>
      <c r="BX95" s="23"/>
      <c r="BY95" s="23"/>
      <c r="BZ95" s="20">
        <f t="shared" si="96"/>
        <v>0</v>
      </c>
      <c r="CA95" s="22"/>
      <c r="CB95" s="23"/>
      <c r="CC95" s="23">
        <f t="shared" si="67"/>
        <v>0</v>
      </c>
      <c r="CD95" s="23">
        <f t="shared" si="68"/>
        <v>0</v>
      </c>
      <c r="CE95" s="23">
        <f t="shared" si="69"/>
        <v>0</v>
      </c>
      <c r="CF95" s="23"/>
      <c r="CG95" s="23"/>
      <c r="CH95" s="23"/>
      <c r="CI95" s="20">
        <f t="shared" si="97"/>
        <v>0</v>
      </c>
      <c r="CJ95" s="22"/>
      <c r="CK95" s="23"/>
      <c r="CL95" s="23">
        <f t="shared" si="70"/>
        <v>0</v>
      </c>
      <c r="CM95" s="23">
        <f t="shared" si="71"/>
        <v>0</v>
      </c>
      <c r="CN95" s="23">
        <f t="shared" si="72"/>
        <v>0</v>
      </c>
      <c r="CO95" s="23"/>
      <c r="CP95" s="23"/>
      <c r="CQ95" s="23"/>
      <c r="CR95" s="20">
        <f t="shared" si="98"/>
        <v>0</v>
      </c>
      <c r="CS95" s="22"/>
      <c r="CT95" s="23"/>
      <c r="CU95" s="23">
        <f t="shared" si="73"/>
        <v>0</v>
      </c>
      <c r="CV95" s="23">
        <f t="shared" si="74"/>
        <v>0</v>
      </c>
      <c r="CW95" s="23">
        <f t="shared" si="75"/>
        <v>0</v>
      </c>
      <c r="CX95" s="23"/>
      <c r="CY95" s="23"/>
      <c r="CZ95" s="23"/>
      <c r="DA95" s="20">
        <f t="shared" si="99"/>
        <v>0</v>
      </c>
      <c r="DB95" s="22"/>
      <c r="DC95" s="23"/>
      <c r="DD95" s="23">
        <f t="shared" si="76"/>
        <v>0</v>
      </c>
      <c r="DE95" s="23">
        <f t="shared" si="77"/>
        <v>0</v>
      </c>
      <c r="DF95" s="23">
        <f t="shared" si="78"/>
        <v>0</v>
      </c>
      <c r="DG95" s="23"/>
      <c r="DH95" s="23"/>
      <c r="DI95" s="23"/>
      <c r="DJ95" s="20">
        <f t="shared" si="100"/>
        <v>0</v>
      </c>
      <c r="DK95" s="22"/>
      <c r="DL95" s="23"/>
      <c r="DM95" s="23">
        <f t="shared" si="79"/>
        <v>0</v>
      </c>
      <c r="DN95" s="23">
        <f t="shared" si="80"/>
        <v>0</v>
      </c>
      <c r="DO95" s="23">
        <f t="shared" si="81"/>
        <v>0</v>
      </c>
      <c r="DP95" s="23"/>
      <c r="DQ95" s="23"/>
      <c r="DR95" s="23"/>
      <c r="DS95" s="20">
        <f t="shared" si="101"/>
        <v>0</v>
      </c>
      <c r="DT95" s="22"/>
      <c r="DU95" s="23"/>
      <c r="DV95" s="23">
        <f t="shared" si="82"/>
        <v>0</v>
      </c>
      <c r="DW95" s="23">
        <f t="shared" si="83"/>
        <v>0</v>
      </c>
      <c r="DX95" s="23">
        <f t="shared" si="84"/>
        <v>0</v>
      </c>
      <c r="DY95" s="23"/>
      <c r="DZ95" s="23"/>
      <c r="EA95" s="23"/>
      <c r="EB95" s="20">
        <f t="shared" si="102"/>
        <v>0</v>
      </c>
      <c r="EC95" s="22"/>
      <c r="ED95" s="23"/>
      <c r="EE95" s="23">
        <f t="shared" si="87"/>
        <v>0</v>
      </c>
      <c r="EF95" s="23">
        <f t="shared" si="85"/>
        <v>0</v>
      </c>
      <c r="EG95" s="23">
        <f t="shared" si="86"/>
        <v>0</v>
      </c>
      <c r="EH95" s="23"/>
      <c r="EI95" s="23"/>
      <c r="EJ95" s="22"/>
      <c r="EK95" s="22"/>
      <c r="EL95" s="23"/>
      <c r="EM95" s="23"/>
      <c r="EN95" s="23"/>
      <c r="EO95" s="23"/>
      <c r="EP95" s="23"/>
      <c r="EQ95" s="22"/>
      <c r="ER95" s="22"/>
      <c r="ES95" s="23"/>
      <c r="ET95" s="23"/>
      <c r="EU95" s="23"/>
      <c r="EV95" s="23"/>
    </row>
    <row r="96" spans="1:152" ht="38.25" hidden="1" customHeight="1" x14ac:dyDescent="0.2">
      <c r="A96" s="19"/>
      <c r="B96" s="20"/>
      <c r="C96" s="21"/>
      <c r="D96" s="21"/>
      <c r="E96" s="23"/>
      <c r="F96" s="20">
        <f t="shared" si="88"/>
        <v>0</v>
      </c>
      <c r="G96" s="22"/>
      <c r="H96" s="23"/>
      <c r="I96" s="23">
        <f t="shared" si="43"/>
        <v>0</v>
      </c>
      <c r="J96" s="23">
        <f t="shared" si="44"/>
        <v>0</v>
      </c>
      <c r="K96" s="23">
        <f t="shared" si="45"/>
        <v>0</v>
      </c>
      <c r="L96" s="23"/>
      <c r="M96" s="23"/>
      <c r="N96" s="23"/>
      <c r="O96" s="20">
        <f t="shared" si="89"/>
        <v>0</v>
      </c>
      <c r="P96" s="22"/>
      <c r="Q96" s="23"/>
      <c r="R96" s="23">
        <f t="shared" si="46"/>
        <v>0</v>
      </c>
      <c r="S96" s="23">
        <f t="shared" si="47"/>
        <v>0</v>
      </c>
      <c r="T96" s="23">
        <f t="shared" si="48"/>
        <v>0</v>
      </c>
      <c r="U96" s="23"/>
      <c r="V96" s="23"/>
      <c r="W96" s="23"/>
      <c r="X96" s="20">
        <f t="shared" si="90"/>
        <v>0</v>
      </c>
      <c r="Y96" s="22"/>
      <c r="Z96" s="23"/>
      <c r="AA96" s="23">
        <f t="shared" si="49"/>
        <v>0</v>
      </c>
      <c r="AB96" s="23">
        <f t="shared" si="50"/>
        <v>0</v>
      </c>
      <c r="AC96" s="23">
        <f t="shared" si="51"/>
        <v>0</v>
      </c>
      <c r="AD96" s="23"/>
      <c r="AE96" s="23"/>
      <c r="AF96" s="23"/>
      <c r="AG96" s="20">
        <f t="shared" si="91"/>
        <v>0</v>
      </c>
      <c r="AH96" s="22"/>
      <c r="AI96" s="23"/>
      <c r="AJ96" s="23">
        <f t="shared" si="52"/>
        <v>0</v>
      </c>
      <c r="AK96" s="23">
        <f t="shared" si="53"/>
        <v>0</v>
      </c>
      <c r="AL96" s="23">
        <f t="shared" si="54"/>
        <v>0</v>
      </c>
      <c r="AM96" s="23"/>
      <c r="AN96" s="23"/>
      <c r="AO96" s="23"/>
      <c r="AP96" s="20">
        <f t="shared" si="92"/>
        <v>0</v>
      </c>
      <c r="AQ96" s="22"/>
      <c r="AR96" s="23"/>
      <c r="AS96" s="23">
        <f t="shared" si="55"/>
        <v>0</v>
      </c>
      <c r="AT96" s="23">
        <f t="shared" si="56"/>
        <v>0</v>
      </c>
      <c r="AU96" s="23">
        <f t="shared" si="57"/>
        <v>0</v>
      </c>
      <c r="AV96" s="23"/>
      <c r="AW96" s="23"/>
      <c r="AX96" s="23"/>
      <c r="AY96" s="20">
        <f t="shared" si="93"/>
        <v>0</v>
      </c>
      <c r="AZ96" s="22"/>
      <c r="BA96" s="23"/>
      <c r="BB96" s="23">
        <f t="shared" si="58"/>
        <v>0</v>
      </c>
      <c r="BC96" s="23">
        <f t="shared" si="59"/>
        <v>0</v>
      </c>
      <c r="BD96" s="23">
        <f t="shared" si="60"/>
        <v>0</v>
      </c>
      <c r="BE96" s="23"/>
      <c r="BF96" s="23"/>
      <c r="BG96" s="23"/>
      <c r="BH96" s="20">
        <f t="shared" si="94"/>
        <v>0</v>
      </c>
      <c r="BI96" s="22"/>
      <c r="BJ96" s="23"/>
      <c r="BK96" s="23">
        <f t="shared" si="61"/>
        <v>0</v>
      </c>
      <c r="BL96" s="23">
        <f t="shared" si="62"/>
        <v>0</v>
      </c>
      <c r="BM96" s="23">
        <f t="shared" si="63"/>
        <v>0</v>
      </c>
      <c r="BN96" s="23"/>
      <c r="BO96" s="23"/>
      <c r="BP96" s="23"/>
      <c r="BQ96" s="20">
        <f t="shared" si="95"/>
        <v>0</v>
      </c>
      <c r="BR96" s="22"/>
      <c r="BS96" s="23"/>
      <c r="BT96" s="23">
        <f t="shared" si="64"/>
        <v>0</v>
      </c>
      <c r="BU96" s="23">
        <f t="shared" si="65"/>
        <v>0</v>
      </c>
      <c r="BV96" s="23">
        <f t="shared" si="66"/>
        <v>0</v>
      </c>
      <c r="BW96" s="23"/>
      <c r="BX96" s="23"/>
      <c r="BY96" s="23"/>
      <c r="BZ96" s="20">
        <f t="shared" si="96"/>
        <v>0</v>
      </c>
      <c r="CA96" s="22"/>
      <c r="CB96" s="23"/>
      <c r="CC96" s="23">
        <f t="shared" si="67"/>
        <v>0</v>
      </c>
      <c r="CD96" s="23">
        <f t="shared" si="68"/>
        <v>0</v>
      </c>
      <c r="CE96" s="23">
        <f t="shared" si="69"/>
        <v>0</v>
      </c>
      <c r="CF96" s="23"/>
      <c r="CG96" s="23"/>
      <c r="CH96" s="23"/>
      <c r="CI96" s="20">
        <f t="shared" si="97"/>
        <v>0</v>
      </c>
      <c r="CJ96" s="22"/>
      <c r="CK96" s="23"/>
      <c r="CL96" s="23">
        <f t="shared" si="70"/>
        <v>0</v>
      </c>
      <c r="CM96" s="23">
        <f t="shared" si="71"/>
        <v>0</v>
      </c>
      <c r="CN96" s="23">
        <f t="shared" si="72"/>
        <v>0</v>
      </c>
      <c r="CO96" s="23"/>
      <c r="CP96" s="23"/>
      <c r="CQ96" s="23"/>
      <c r="CR96" s="20">
        <f t="shared" si="98"/>
        <v>0</v>
      </c>
      <c r="CS96" s="22"/>
      <c r="CT96" s="23"/>
      <c r="CU96" s="23">
        <f t="shared" si="73"/>
        <v>0</v>
      </c>
      <c r="CV96" s="23">
        <f t="shared" si="74"/>
        <v>0</v>
      </c>
      <c r="CW96" s="23">
        <f t="shared" si="75"/>
        <v>0</v>
      </c>
      <c r="CX96" s="23"/>
      <c r="CY96" s="23"/>
      <c r="CZ96" s="23"/>
      <c r="DA96" s="20">
        <f t="shared" si="99"/>
        <v>0</v>
      </c>
      <c r="DB96" s="22"/>
      <c r="DC96" s="23"/>
      <c r="DD96" s="23">
        <f t="shared" si="76"/>
        <v>0</v>
      </c>
      <c r="DE96" s="23">
        <f t="shared" si="77"/>
        <v>0</v>
      </c>
      <c r="DF96" s="23">
        <f t="shared" si="78"/>
        <v>0</v>
      </c>
      <c r="DG96" s="23"/>
      <c r="DH96" s="23"/>
      <c r="DI96" s="23"/>
      <c r="DJ96" s="20">
        <f t="shared" si="100"/>
        <v>0</v>
      </c>
      <c r="DK96" s="22"/>
      <c r="DL96" s="23"/>
      <c r="DM96" s="23">
        <f t="shared" si="79"/>
        <v>0</v>
      </c>
      <c r="DN96" s="23">
        <f t="shared" si="80"/>
        <v>0</v>
      </c>
      <c r="DO96" s="23">
        <f t="shared" si="81"/>
        <v>0</v>
      </c>
      <c r="DP96" s="23"/>
      <c r="DQ96" s="23"/>
      <c r="DR96" s="23"/>
      <c r="DS96" s="20">
        <f t="shared" si="101"/>
        <v>0</v>
      </c>
      <c r="DT96" s="22"/>
      <c r="DU96" s="23"/>
      <c r="DV96" s="23">
        <f t="shared" si="82"/>
        <v>0</v>
      </c>
      <c r="DW96" s="23">
        <f t="shared" si="83"/>
        <v>0</v>
      </c>
      <c r="DX96" s="23">
        <f t="shared" si="84"/>
        <v>0</v>
      </c>
      <c r="DY96" s="23"/>
      <c r="DZ96" s="23"/>
      <c r="EA96" s="23"/>
      <c r="EB96" s="20">
        <f t="shared" si="102"/>
        <v>0</v>
      </c>
      <c r="EC96" s="22"/>
      <c r="ED96" s="23"/>
      <c r="EE96" s="23">
        <f t="shared" si="87"/>
        <v>0</v>
      </c>
      <c r="EF96" s="23">
        <f t="shared" si="85"/>
        <v>0</v>
      </c>
      <c r="EG96" s="23">
        <f t="shared" si="86"/>
        <v>0</v>
      </c>
      <c r="EH96" s="23"/>
      <c r="EI96" s="23"/>
      <c r="EJ96" s="22"/>
      <c r="EK96" s="22"/>
      <c r="EL96" s="23"/>
      <c r="EM96" s="23"/>
      <c r="EN96" s="23"/>
      <c r="EO96" s="23"/>
      <c r="EP96" s="23"/>
      <c r="EQ96" s="22"/>
      <c r="ER96" s="22"/>
      <c r="ES96" s="23"/>
      <c r="ET96" s="23"/>
      <c r="EU96" s="23"/>
      <c r="EV96" s="23"/>
    </row>
    <row r="97" spans="1:152" ht="39" hidden="1" customHeight="1" x14ac:dyDescent="0.2">
      <c r="A97" s="19"/>
      <c r="B97" s="20"/>
      <c r="C97" s="21"/>
      <c r="D97" s="21"/>
      <c r="E97" s="23"/>
      <c r="F97" s="20">
        <f t="shared" si="88"/>
        <v>0</v>
      </c>
      <c r="G97" s="22"/>
      <c r="H97" s="23"/>
      <c r="I97" s="23">
        <f t="shared" si="43"/>
        <v>0</v>
      </c>
      <c r="J97" s="23">
        <f t="shared" si="44"/>
        <v>0</v>
      </c>
      <c r="K97" s="23">
        <f t="shared" si="45"/>
        <v>0</v>
      </c>
      <c r="L97" s="23"/>
      <c r="M97" s="23"/>
      <c r="N97" s="23"/>
      <c r="O97" s="20">
        <f t="shared" si="89"/>
        <v>0</v>
      </c>
      <c r="P97" s="22"/>
      <c r="Q97" s="23"/>
      <c r="R97" s="23">
        <f t="shared" si="46"/>
        <v>0</v>
      </c>
      <c r="S97" s="23">
        <f t="shared" si="47"/>
        <v>0</v>
      </c>
      <c r="T97" s="23">
        <f t="shared" si="48"/>
        <v>0</v>
      </c>
      <c r="U97" s="23"/>
      <c r="V97" s="23"/>
      <c r="W97" s="23"/>
      <c r="X97" s="20">
        <f t="shared" si="90"/>
        <v>0</v>
      </c>
      <c r="Y97" s="22"/>
      <c r="Z97" s="23"/>
      <c r="AA97" s="23">
        <f t="shared" si="49"/>
        <v>0</v>
      </c>
      <c r="AB97" s="23">
        <f t="shared" si="50"/>
        <v>0</v>
      </c>
      <c r="AC97" s="23">
        <f t="shared" si="51"/>
        <v>0</v>
      </c>
      <c r="AD97" s="23"/>
      <c r="AE97" s="23"/>
      <c r="AF97" s="23"/>
      <c r="AG97" s="20">
        <f t="shared" si="91"/>
        <v>0</v>
      </c>
      <c r="AH97" s="22"/>
      <c r="AI97" s="23"/>
      <c r="AJ97" s="23">
        <f t="shared" si="52"/>
        <v>0</v>
      </c>
      <c r="AK97" s="23">
        <f t="shared" si="53"/>
        <v>0</v>
      </c>
      <c r="AL97" s="23">
        <f t="shared" si="54"/>
        <v>0</v>
      </c>
      <c r="AM97" s="23"/>
      <c r="AN97" s="23"/>
      <c r="AO97" s="23"/>
      <c r="AP97" s="20">
        <f t="shared" si="92"/>
        <v>0</v>
      </c>
      <c r="AQ97" s="22"/>
      <c r="AR97" s="23"/>
      <c r="AS97" s="23">
        <f t="shared" si="55"/>
        <v>0</v>
      </c>
      <c r="AT97" s="23">
        <f t="shared" si="56"/>
        <v>0</v>
      </c>
      <c r="AU97" s="23">
        <f t="shared" si="57"/>
        <v>0</v>
      </c>
      <c r="AV97" s="23"/>
      <c r="AW97" s="23"/>
      <c r="AX97" s="23"/>
      <c r="AY97" s="20">
        <f t="shared" si="93"/>
        <v>0</v>
      </c>
      <c r="AZ97" s="22"/>
      <c r="BA97" s="23"/>
      <c r="BB97" s="23">
        <f t="shared" si="58"/>
        <v>0</v>
      </c>
      <c r="BC97" s="23">
        <f t="shared" si="59"/>
        <v>0</v>
      </c>
      <c r="BD97" s="23">
        <f t="shared" si="60"/>
        <v>0</v>
      </c>
      <c r="BE97" s="23"/>
      <c r="BF97" s="23"/>
      <c r="BG97" s="23"/>
      <c r="BH97" s="20">
        <f t="shared" si="94"/>
        <v>0</v>
      </c>
      <c r="BI97" s="22"/>
      <c r="BJ97" s="23"/>
      <c r="BK97" s="23">
        <f t="shared" si="61"/>
        <v>0</v>
      </c>
      <c r="BL97" s="23">
        <f t="shared" si="62"/>
        <v>0</v>
      </c>
      <c r="BM97" s="23">
        <f t="shared" si="63"/>
        <v>0</v>
      </c>
      <c r="BN97" s="23"/>
      <c r="BO97" s="23"/>
      <c r="BP97" s="23"/>
      <c r="BQ97" s="20">
        <f t="shared" si="95"/>
        <v>0</v>
      </c>
      <c r="BR97" s="22"/>
      <c r="BS97" s="23"/>
      <c r="BT97" s="23">
        <f t="shared" si="64"/>
        <v>0</v>
      </c>
      <c r="BU97" s="23">
        <f t="shared" si="65"/>
        <v>0</v>
      </c>
      <c r="BV97" s="23">
        <f t="shared" si="66"/>
        <v>0</v>
      </c>
      <c r="BW97" s="23"/>
      <c r="BX97" s="23"/>
      <c r="BY97" s="23"/>
      <c r="BZ97" s="20">
        <f t="shared" si="96"/>
        <v>0</v>
      </c>
      <c r="CA97" s="22"/>
      <c r="CB97" s="23"/>
      <c r="CC97" s="23">
        <f t="shared" si="67"/>
        <v>0</v>
      </c>
      <c r="CD97" s="23">
        <f t="shared" si="68"/>
        <v>0</v>
      </c>
      <c r="CE97" s="23">
        <f t="shared" si="69"/>
        <v>0</v>
      </c>
      <c r="CF97" s="23"/>
      <c r="CG97" s="23"/>
      <c r="CH97" s="23"/>
      <c r="CI97" s="20">
        <f t="shared" si="97"/>
        <v>0</v>
      </c>
      <c r="CJ97" s="22"/>
      <c r="CK97" s="23"/>
      <c r="CL97" s="23">
        <f t="shared" si="70"/>
        <v>0</v>
      </c>
      <c r="CM97" s="23">
        <f t="shared" si="71"/>
        <v>0</v>
      </c>
      <c r="CN97" s="23">
        <f t="shared" si="72"/>
        <v>0</v>
      </c>
      <c r="CO97" s="23"/>
      <c r="CP97" s="23"/>
      <c r="CQ97" s="23"/>
      <c r="CR97" s="20">
        <f t="shared" si="98"/>
        <v>0</v>
      </c>
      <c r="CS97" s="22"/>
      <c r="CT97" s="23"/>
      <c r="CU97" s="23">
        <f t="shared" si="73"/>
        <v>0</v>
      </c>
      <c r="CV97" s="23">
        <f t="shared" si="74"/>
        <v>0</v>
      </c>
      <c r="CW97" s="23">
        <f t="shared" si="75"/>
        <v>0</v>
      </c>
      <c r="CX97" s="23"/>
      <c r="CY97" s="23"/>
      <c r="CZ97" s="23"/>
      <c r="DA97" s="20">
        <f t="shared" si="99"/>
        <v>0</v>
      </c>
      <c r="DB97" s="22"/>
      <c r="DC97" s="23"/>
      <c r="DD97" s="23">
        <f t="shared" si="76"/>
        <v>0</v>
      </c>
      <c r="DE97" s="23">
        <f t="shared" si="77"/>
        <v>0</v>
      </c>
      <c r="DF97" s="23">
        <f t="shared" si="78"/>
        <v>0</v>
      </c>
      <c r="DG97" s="23"/>
      <c r="DH97" s="23"/>
      <c r="DI97" s="23"/>
      <c r="DJ97" s="20">
        <f t="shared" si="100"/>
        <v>0</v>
      </c>
      <c r="DK97" s="22"/>
      <c r="DL97" s="23"/>
      <c r="DM97" s="23">
        <f t="shared" si="79"/>
        <v>0</v>
      </c>
      <c r="DN97" s="23">
        <f t="shared" si="80"/>
        <v>0</v>
      </c>
      <c r="DO97" s="23">
        <f t="shared" si="81"/>
        <v>0</v>
      </c>
      <c r="DP97" s="23"/>
      <c r="DQ97" s="23"/>
      <c r="DR97" s="23"/>
      <c r="DS97" s="20">
        <f t="shared" si="101"/>
        <v>0</v>
      </c>
      <c r="DT97" s="22"/>
      <c r="DU97" s="23"/>
      <c r="DV97" s="23">
        <f t="shared" si="82"/>
        <v>0</v>
      </c>
      <c r="DW97" s="23">
        <f t="shared" si="83"/>
        <v>0</v>
      </c>
      <c r="DX97" s="23">
        <f t="shared" si="84"/>
        <v>0</v>
      </c>
      <c r="DY97" s="23"/>
      <c r="DZ97" s="23"/>
      <c r="EA97" s="23"/>
      <c r="EB97" s="20">
        <f t="shared" si="102"/>
        <v>0</v>
      </c>
      <c r="EC97" s="22"/>
      <c r="ED97" s="23"/>
      <c r="EE97" s="23">
        <f t="shared" si="87"/>
        <v>0</v>
      </c>
      <c r="EF97" s="23">
        <f t="shared" si="85"/>
        <v>0</v>
      </c>
      <c r="EG97" s="23">
        <f t="shared" si="86"/>
        <v>0</v>
      </c>
      <c r="EH97" s="23"/>
      <c r="EI97" s="23"/>
      <c r="EJ97" s="22"/>
      <c r="EK97" s="22"/>
      <c r="EL97" s="23"/>
      <c r="EM97" s="23"/>
      <c r="EN97" s="23"/>
      <c r="EO97" s="23"/>
      <c r="EP97" s="23"/>
      <c r="EQ97" s="22"/>
      <c r="ER97" s="22"/>
      <c r="ES97" s="23"/>
      <c r="ET97" s="23"/>
      <c r="EU97" s="23"/>
      <c r="EV97" s="23"/>
    </row>
    <row r="98" spans="1:152" ht="33" hidden="1" customHeight="1" x14ac:dyDescent="0.2">
      <c r="A98" s="19"/>
      <c r="B98" s="20"/>
      <c r="C98" s="21"/>
      <c r="D98" s="21"/>
      <c r="E98" s="23"/>
      <c r="F98" s="20">
        <f t="shared" si="88"/>
        <v>0</v>
      </c>
      <c r="G98" s="22"/>
      <c r="H98" s="23"/>
      <c r="I98" s="23">
        <f t="shared" si="43"/>
        <v>0</v>
      </c>
      <c r="J98" s="23">
        <f t="shared" si="44"/>
        <v>0</v>
      </c>
      <c r="K98" s="23">
        <f t="shared" si="45"/>
        <v>0</v>
      </c>
      <c r="L98" s="23"/>
      <c r="M98" s="23"/>
      <c r="N98" s="23"/>
      <c r="O98" s="20">
        <f t="shared" si="89"/>
        <v>0</v>
      </c>
      <c r="P98" s="22"/>
      <c r="Q98" s="23"/>
      <c r="R98" s="23">
        <f t="shared" si="46"/>
        <v>0</v>
      </c>
      <c r="S98" s="23">
        <f t="shared" si="47"/>
        <v>0</v>
      </c>
      <c r="T98" s="23">
        <f t="shared" si="48"/>
        <v>0</v>
      </c>
      <c r="U98" s="23"/>
      <c r="V98" s="23"/>
      <c r="W98" s="23"/>
      <c r="X98" s="20">
        <f t="shared" si="90"/>
        <v>0</v>
      </c>
      <c r="Y98" s="22"/>
      <c r="Z98" s="23"/>
      <c r="AA98" s="23">
        <f t="shared" si="49"/>
        <v>0</v>
      </c>
      <c r="AB98" s="23">
        <f t="shared" si="50"/>
        <v>0</v>
      </c>
      <c r="AC98" s="23">
        <f t="shared" si="51"/>
        <v>0</v>
      </c>
      <c r="AD98" s="23"/>
      <c r="AE98" s="23"/>
      <c r="AF98" s="23"/>
      <c r="AG98" s="20">
        <f t="shared" si="91"/>
        <v>0</v>
      </c>
      <c r="AH98" s="22"/>
      <c r="AI98" s="23"/>
      <c r="AJ98" s="23">
        <f t="shared" si="52"/>
        <v>0</v>
      </c>
      <c r="AK98" s="23">
        <f t="shared" si="53"/>
        <v>0</v>
      </c>
      <c r="AL98" s="23">
        <f t="shared" si="54"/>
        <v>0</v>
      </c>
      <c r="AM98" s="23"/>
      <c r="AN98" s="23"/>
      <c r="AO98" s="23"/>
      <c r="AP98" s="20">
        <f t="shared" si="92"/>
        <v>0</v>
      </c>
      <c r="AQ98" s="22"/>
      <c r="AR98" s="23"/>
      <c r="AS98" s="23">
        <f t="shared" si="55"/>
        <v>0</v>
      </c>
      <c r="AT98" s="23">
        <f t="shared" si="56"/>
        <v>0</v>
      </c>
      <c r="AU98" s="23">
        <f t="shared" si="57"/>
        <v>0</v>
      </c>
      <c r="AV98" s="23"/>
      <c r="AW98" s="23"/>
      <c r="AX98" s="23"/>
      <c r="AY98" s="20">
        <f t="shared" si="93"/>
        <v>0</v>
      </c>
      <c r="AZ98" s="22"/>
      <c r="BA98" s="23"/>
      <c r="BB98" s="23">
        <f t="shared" si="58"/>
        <v>0</v>
      </c>
      <c r="BC98" s="23">
        <f t="shared" si="59"/>
        <v>0</v>
      </c>
      <c r="BD98" s="23">
        <f t="shared" si="60"/>
        <v>0</v>
      </c>
      <c r="BE98" s="23"/>
      <c r="BF98" s="23"/>
      <c r="BG98" s="23"/>
      <c r="BH98" s="20">
        <f t="shared" si="94"/>
        <v>0</v>
      </c>
      <c r="BI98" s="22"/>
      <c r="BJ98" s="23"/>
      <c r="BK98" s="23">
        <f t="shared" si="61"/>
        <v>0</v>
      </c>
      <c r="BL98" s="23">
        <f t="shared" si="62"/>
        <v>0</v>
      </c>
      <c r="BM98" s="23">
        <f t="shared" si="63"/>
        <v>0</v>
      </c>
      <c r="BN98" s="23"/>
      <c r="BO98" s="23"/>
      <c r="BP98" s="23"/>
      <c r="BQ98" s="20">
        <f t="shared" si="95"/>
        <v>0</v>
      </c>
      <c r="BR98" s="22"/>
      <c r="BS98" s="23"/>
      <c r="BT98" s="23">
        <f t="shared" si="64"/>
        <v>0</v>
      </c>
      <c r="BU98" s="23">
        <f t="shared" si="65"/>
        <v>0</v>
      </c>
      <c r="BV98" s="23">
        <f t="shared" si="66"/>
        <v>0</v>
      </c>
      <c r="BW98" s="23"/>
      <c r="BX98" s="23"/>
      <c r="BY98" s="23"/>
      <c r="BZ98" s="20">
        <f t="shared" si="96"/>
        <v>0</v>
      </c>
      <c r="CA98" s="22"/>
      <c r="CB98" s="23"/>
      <c r="CC98" s="23">
        <f t="shared" si="67"/>
        <v>0</v>
      </c>
      <c r="CD98" s="23">
        <f t="shared" si="68"/>
        <v>0</v>
      </c>
      <c r="CE98" s="23">
        <f t="shared" si="69"/>
        <v>0</v>
      </c>
      <c r="CF98" s="23"/>
      <c r="CG98" s="23"/>
      <c r="CH98" s="23"/>
      <c r="CI98" s="20">
        <f t="shared" si="97"/>
        <v>0</v>
      </c>
      <c r="CJ98" s="22"/>
      <c r="CK98" s="23"/>
      <c r="CL98" s="23">
        <f t="shared" si="70"/>
        <v>0</v>
      </c>
      <c r="CM98" s="23">
        <f t="shared" si="71"/>
        <v>0</v>
      </c>
      <c r="CN98" s="23">
        <f t="shared" si="72"/>
        <v>0</v>
      </c>
      <c r="CO98" s="23"/>
      <c r="CP98" s="23"/>
      <c r="CQ98" s="23"/>
      <c r="CR98" s="20">
        <f t="shared" si="98"/>
        <v>0</v>
      </c>
      <c r="CS98" s="22"/>
      <c r="CT98" s="23"/>
      <c r="CU98" s="23">
        <f t="shared" si="73"/>
        <v>0</v>
      </c>
      <c r="CV98" s="23">
        <f t="shared" si="74"/>
        <v>0</v>
      </c>
      <c r="CW98" s="23">
        <f t="shared" si="75"/>
        <v>0</v>
      </c>
      <c r="CX98" s="23"/>
      <c r="CY98" s="23"/>
      <c r="CZ98" s="23"/>
      <c r="DA98" s="20">
        <f t="shared" si="99"/>
        <v>0</v>
      </c>
      <c r="DB98" s="22"/>
      <c r="DC98" s="23"/>
      <c r="DD98" s="23">
        <f t="shared" si="76"/>
        <v>0</v>
      </c>
      <c r="DE98" s="23">
        <f t="shared" si="77"/>
        <v>0</v>
      </c>
      <c r="DF98" s="23">
        <f t="shared" si="78"/>
        <v>0</v>
      </c>
      <c r="DG98" s="23"/>
      <c r="DH98" s="23"/>
      <c r="DI98" s="23"/>
      <c r="DJ98" s="20">
        <f t="shared" si="100"/>
        <v>0</v>
      </c>
      <c r="DK98" s="22"/>
      <c r="DL98" s="23"/>
      <c r="DM98" s="23">
        <f t="shared" si="79"/>
        <v>0</v>
      </c>
      <c r="DN98" s="23">
        <f t="shared" si="80"/>
        <v>0</v>
      </c>
      <c r="DO98" s="23">
        <f t="shared" si="81"/>
        <v>0</v>
      </c>
      <c r="DP98" s="23"/>
      <c r="DQ98" s="23"/>
      <c r="DR98" s="23"/>
      <c r="DS98" s="20">
        <f t="shared" si="101"/>
        <v>0</v>
      </c>
      <c r="DT98" s="22"/>
      <c r="DU98" s="23"/>
      <c r="DV98" s="23">
        <f t="shared" si="82"/>
        <v>0</v>
      </c>
      <c r="DW98" s="23">
        <f t="shared" si="83"/>
        <v>0</v>
      </c>
      <c r="DX98" s="23">
        <f t="shared" si="84"/>
        <v>0</v>
      </c>
      <c r="DY98" s="23"/>
      <c r="DZ98" s="23"/>
      <c r="EA98" s="23"/>
      <c r="EB98" s="20">
        <f t="shared" si="102"/>
        <v>0</v>
      </c>
      <c r="EC98" s="22"/>
      <c r="ED98" s="23"/>
      <c r="EE98" s="23">
        <f t="shared" si="87"/>
        <v>0</v>
      </c>
      <c r="EF98" s="23">
        <f t="shared" si="85"/>
        <v>0</v>
      </c>
      <c r="EG98" s="23">
        <f t="shared" si="86"/>
        <v>0</v>
      </c>
      <c r="EH98" s="23"/>
      <c r="EI98" s="23"/>
      <c r="EJ98" s="22"/>
      <c r="EK98" s="22"/>
      <c r="EL98" s="23"/>
      <c r="EM98" s="23"/>
      <c r="EN98" s="23"/>
      <c r="EO98" s="23"/>
      <c r="EP98" s="23"/>
      <c r="EQ98" s="22"/>
      <c r="ER98" s="22"/>
      <c r="ES98" s="23"/>
      <c r="ET98" s="23"/>
      <c r="EU98" s="23"/>
      <c r="EV98" s="23"/>
    </row>
    <row r="99" spans="1:152" ht="38.25" hidden="1" customHeight="1" x14ac:dyDescent="0.2">
      <c r="A99" s="19"/>
      <c r="B99" s="20"/>
      <c r="C99" s="21"/>
      <c r="D99" s="21"/>
      <c r="E99" s="23"/>
      <c r="F99" s="20">
        <f t="shared" si="88"/>
        <v>0</v>
      </c>
      <c r="G99" s="22"/>
      <c r="H99" s="23"/>
      <c r="I99" s="23">
        <f t="shared" si="43"/>
        <v>0</v>
      </c>
      <c r="J99" s="23">
        <f t="shared" si="44"/>
        <v>0</v>
      </c>
      <c r="K99" s="23">
        <f t="shared" si="45"/>
        <v>0</v>
      </c>
      <c r="L99" s="23"/>
      <c r="M99" s="23"/>
      <c r="N99" s="23"/>
      <c r="O99" s="20">
        <f t="shared" si="89"/>
        <v>0</v>
      </c>
      <c r="P99" s="22"/>
      <c r="Q99" s="23"/>
      <c r="R99" s="23">
        <f t="shared" si="46"/>
        <v>0</v>
      </c>
      <c r="S99" s="23">
        <f t="shared" si="47"/>
        <v>0</v>
      </c>
      <c r="T99" s="23">
        <f t="shared" si="48"/>
        <v>0</v>
      </c>
      <c r="U99" s="23"/>
      <c r="V99" s="23"/>
      <c r="W99" s="23"/>
      <c r="X99" s="20">
        <f t="shared" si="90"/>
        <v>0</v>
      </c>
      <c r="Y99" s="22"/>
      <c r="Z99" s="23"/>
      <c r="AA99" s="23">
        <f t="shared" si="49"/>
        <v>0</v>
      </c>
      <c r="AB99" s="23">
        <f t="shared" si="50"/>
        <v>0</v>
      </c>
      <c r="AC99" s="23">
        <f t="shared" si="51"/>
        <v>0</v>
      </c>
      <c r="AD99" s="23"/>
      <c r="AE99" s="23"/>
      <c r="AF99" s="23"/>
      <c r="AG99" s="20">
        <f t="shared" si="91"/>
        <v>0</v>
      </c>
      <c r="AH99" s="22"/>
      <c r="AI99" s="23"/>
      <c r="AJ99" s="23">
        <f t="shared" si="52"/>
        <v>0</v>
      </c>
      <c r="AK99" s="23">
        <f t="shared" si="53"/>
        <v>0</v>
      </c>
      <c r="AL99" s="23">
        <f t="shared" si="54"/>
        <v>0</v>
      </c>
      <c r="AM99" s="23"/>
      <c r="AN99" s="23"/>
      <c r="AO99" s="23"/>
      <c r="AP99" s="20">
        <f t="shared" si="92"/>
        <v>0</v>
      </c>
      <c r="AQ99" s="22"/>
      <c r="AR99" s="23"/>
      <c r="AS99" s="23">
        <f t="shared" si="55"/>
        <v>0</v>
      </c>
      <c r="AT99" s="23">
        <f t="shared" si="56"/>
        <v>0</v>
      </c>
      <c r="AU99" s="23">
        <f t="shared" si="57"/>
        <v>0</v>
      </c>
      <c r="AV99" s="23"/>
      <c r="AW99" s="23"/>
      <c r="AX99" s="23"/>
      <c r="AY99" s="20">
        <f t="shared" si="93"/>
        <v>0</v>
      </c>
      <c r="AZ99" s="22"/>
      <c r="BA99" s="23"/>
      <c r="BB99" s="23">
        <f t="shared" si="58"/>
        <v>0</v>
      </c>
      <c r="BC99" s="23">
        <f t="shared" si="59"/>
        <v>0</v>
      </c>
      <c r="BD99" s="23">
        <f t="shared" si="60"/>
        <v>0</v>
      </c>
      <c r="BE99" s="23"/>
      <c r="BF99" s="23"/>
      <c r="BG99" s="23"/>
      <c r="BH99" s="20">
        <f t="shared" si="94"/>
        <v>0</v>
      </c>
      <c r="BI99" s="22"/>
      <c r="BJ99" s="23"/>
      <c r="BK99" s="23">
        <f t="shared" si="61"/>
        <v>0</v>
      </c>
      <c r="BL99" s="23">
        <f t="shared" si="62"/>
        <v>0</v>
      </c>
      <c r="BM99" s="23">
        <f t="shared" si="63"/>
        <v>0</v>
      </c>
      <c r="BN99" s="23"/>
      <c r="BO99" s="23"/>
      <c r="BP99" s="23"/>
      <c r="BQ99" s="20">
        <f t="shared" si="95"/>
        <v>0</v>
      </c>
      <c r="BR99" s="22"/>
      <c r="BS99" s="23"/>
      <c r="BT99" s="23">
        <f t="shared" si="64"/>
        <v>0</v>
      </c>
      <c r="BU99" s="23">
        <f t="shared" si="65"/>
        <v>0</v>
      </c>
      <c r="BV99" s="23">
        <f t="shared" si="66"/>
        <v>0</v>
      </c>
      <c r="BW99" s="23"/>
      <c r="BX99" s="23"/>
      <c r="BY99" s="23"/>
      <c r="BZ99" s="20">
        <f t="shared" si="96"/>
        <v>0</v>
      </c>
      <c r="CA99" s="22"/>
      <c r="CB99" s="23"/>
      <c r="CC99" s="23">
        <f t="shared" si="67"/>
        <v>0</v>
      </c>
      <c r="CD99" s="23">
        <f t="shared" si="68"/>
        <v>0</v>
      </c>
      <c r="CE99" s="23">
        <f t="shared" si="69"/>
        <v>0</v>
      </c>
      <c r="CF99" s="23"/>
      <c r="CG99" s="23"/>
      <c r="CH99" s="23"/>
      <c r="CI99" s="20">
        <f t="shared" si="97"/>
        <v>0</v>
      </c>
      <c r="CJ99" s="22"/>
      <c r="CK99" s="23"/>
      <c r="CL99" s="23">
        <f t="shared" si="70"/>
        <v>0</v>
      </c>
      <c r="CM99" s="23">
        <f t="shared" si="71"/>
        <v>0</v>
      </c>
      <c r="CN99" s="23">
        <f t="shared" si="72"/>
        <v>0</v>
      </c>
      <c r="CO99" s="23"/>
      <c r="CP99" s="23"/>
      <c r="CQ99" s="23"/>
      <c r="CR99" s="20">
        <f t="shared" si="98"/>
        <v>0</v>
      </c>
      <c r="CS99" s="22"/>
      <c r="CT99" s="23"/>
      <c r="CU99" s="23">
        <f t="shared" si="73"/>
        <v>0</v>
      </c>
      <c r="CV99" s="23">
        <f t="shared" si="74"/>
        <v>0</v>
      </c>
      <c r="CW99" s="23">
        <f t="shared" si="75"/>
        <v>0</v>
      </c>
      <c r="CX99" s="23"/>
      <c r="CY99" s="23"/>
      <c r="CZ99" s="23"/>
      <c r="DA99" s="20">
        <f t="shared" si="99"/>
        <v>0</v>
      </c>
      <c r="DB99" s="22"/>
      <c r="DC99" s="23"/>
      <c r="DD99" s="23">
        <f t="shared" si="76"/>
        <v>0</v>
      </c>
      <c r="DE99" s="23">
        <f t="shared" si="77"/>
        <v>0</v>
      </c>
      <c r="DF99" s="23">
        <f t="shared" si="78"/>
        <v>0</v>
      </c>
      <c r="DG99" s="23"/>
      <c r="DH99" s="23"/>
      <c r="DI99" s="23"/>
      <c r="DJ99" s="20">
        <f t="shared" si="100"/>
        <v>0</v>
      </c>
      <c r="DK99" s="22"/>
      <c r="DL99" s="23"/>
      <c r="DM99" s="23">
        <f t="shared" si="79"/>
        <v>0</v>
      </c>
      <c r="DN99" s="23">
        <f t="shared" si="80"/>
        <v>0</v>
      </c>
      <c r="DO99" s="23">
        <f t="shared" si="81"/>
        <v>0</v>
      </c>
      <c r="DP99" s="23"/>
      <c r="DQ99" s="23"/>
      <c r="DR99" s="23"/>
      <c r="DS99" s="20">
        <f t="shared" si="101"/>
        <v>0</v>
      </c>
      <c r="DT99" s="22"/>
      <c r="DU99" s="23"/>
      <c r="DV99" s="23">
        <f t="shared" si="82"/>
        <v>0</v>
      </c>
      <c r="DW99" s="23">
        <f t="shared" si="83"/>
        <v>0</v>
      </c>
      <c r="DX99" s="23">
        <f t="shared" si="84"/>
        <v>0</v>
      </c>
      <c r="DY99" s="23"/>
      <c r="DZ99" s="23"/>
      <c r="EA99" s="23"/>
      <c r="EB99" s="20">
        <f t="shared" si="102"/>
        <v>0</v>
      </c>
      <c r="EC99" s="22"/>
      <c r="ED99" s="23"/>
      <c r="EE99" s="23">
        <f t="shared" si="87"/>
        <v>0</v>
      </c>
      <c r="EF99" s="23">
        <f t="shared" si="85"/>
        <v>0</v>
      </c>
      <c r="EG99" s="23">
        <f t="shared" si="86"/>
        <v>0</v>
      </c>
      <c r="EH99" s="23"/>
      <c r="EI99" s="23"/>
      <c r="EJ99" s="22"/>
      <c r="EK99" s="22"/>
      <c r="EL99" s="23"/>
      <c r="EM99" s="23"/>
      <c r="EN99" s="23"/>
      <c r="EO99" s="23"/>
      <c r="EP99" s="23"/>
      <c r="EQ99" s="22"/>
      <c r="ER99" s="22"/>
      <c r="ES99" s="23"/>
      <c r="ET99" s="23"/>
      <c r="EU99" s="23"/>
      <c r="EV99" s="23"/>
    </row>
    <row r="100" spans="1:152" ht="42.75" hidden="1" customHeight="1" x14ac:dyDescent="0.2">
      <c r="A100" s="19"/>
      <c r="B100" s="20"/>
      <c r="C100" s="21"/>
      <c r="D100" s="21"/>
      <c r="E100" s="23"/>
      <c r="F100" s="20">
        <f t="shared" si="88"/>
        <v>0</v>
      </c>
      <c r="G100" s="22"/>
      <c r="H100" s="23"/>
      <c r="I100" s="23">
        <f t="shared" si="43"/>
        <v>0</v>
      </c>
      <c r="J100" s="23">
        <f t="shared" si="44"/>
        <v>0</v>
      </c>
      <c r="K100" s="23">
        <f t="shared" si="45"/>
        <v>0</v>
      </c>
      <c r="L100" s="23"/>
      <c r="M100" s="23"/>
      <c r="N100" s="23"/>
      <c r="O100" s="20">
        <f t="shared" si="89"/>
        <v>0</v>
      </c>
      <c r="P100" s="22"/>
      <c r="Q100" s="23"/>
      <c r="R100" s="23">
        <f t="shared" si="46"/>
        <v>0</v>
      </c>
      <c r="S100" s="23">
        <f t="shared" si="47"/>
        <v>0</v>
      </c>
      <c r="T100" s="23">
        <f t="shared" si="48"/>
        <v>0</v>
      </c>
      <c r="U100" s="23"/>
      <c r="V100" s="23"/>
      <c r="W100" s="23"/>
      <c r="X100" s="20">
        <f t="shared" si="90"/>
        <v>0</v>
      </c>
      <c r="Y100" s="22"/>
      <c r="Z100" s="23"/>
      <c r="AA100" s="23">
        <f t="shared" si="49"/>
        <v>0</v>
      </c>
      <c r="AB100" s="23">
        <f t="shared" si="50"/>
        <v>0</v>
      </c>
      <c r="AC100" s="23">
        <f t="shared" si="51"/>
        <v>0</v>
      </c>
      <c r="AD100" s="23"/>
      <c r="AE100" s="23"/>
      <c r="AF100" s="23"/>
      <c r="AG100" s="20">
        <f t="shared" si="91"/>
        <v>0</v>
      </c>
      <c r="AH100" s="22"/>
      <c r="AI100" s="23"/>
      <c r="AJ100" s="23">
        <f t="shared" si="52"/>
        <v>0</v>
      </c>
      <c r="AK100" s="23">
        <f t="shared" si="53"/>
        <v>0</v>
      </c>
      <c r="AL100" s="23">
        <f t="shared" si="54"/>
        <v>0</v>
      </c>
      <c r="AM100" s="23"/>
      <c r="AN100" s="23"/>
      <c r="AO100" s="23"/>
      <c r="AP100" s="20">
        <f t="shared" si="92"/>
        <v>0</v>
      </c>
      <c r="AQ100" s="22"/>
      <c r="AR100" s="23"/>
      <c r="AS100" s="23">
        <f t="shared" si="55"/>
        <v>0</v>
      </c>
      <c r="AT100" s="23">
        <f t="shared" si="56"/>
        <v>0</v>
      </c>
      <c r="AU100" s="23">
        <f t="shared" si="57"/>
        <v>0</v>
      </c>
      <c r="AV100" s="23"/>
      <c r="AW100" s="23"/>
      <c r="AX100" s="23"/>
      <c r="AY100" s="20">
        <f t="shared" si="93"/>
        <v>0</v>
      </c>
      <c r="AZ100" s="22"/>
      <c r="BA100" s="23"/>
      <c r="BB100" s="23">
        <f t="shared" si="58"/>
        <v>0</v>
      </c>
      <c r="BC100" s="23">
        <f t="shared" si="59"/>
        <v>0</v>
      </c>
      <c r="BD100" s="23">
        <f t="shared" si="60"/>
        <v>0</v>
      </c>
      <c r="BE100" s="23"/>
      <c r="BF100" s="23"/>
      <c r="BG100" s="23"/>
      <c r="BH100" s="20">
        <f t="shared" si="94"/>
        <v>0</v>
      </c>
      <c r="BI100" s="22"/>
      <c r="BJ100" s="23"/>
      <c r="BK100" s="23">
        <f t="shared" si="61"/>
        <v>0</v>
      </c>
      <c r="BL100" s="23">
        <f t="shared" si="62"/>
        <v>0</v>
      </c>
      <c r="BM100" s="23">
        <f t="shared" si="63"/>
        <v>0</v>
      </c>
      <c r="BN100" s="23"/>
      <c r="BO100" s="23"/>
      <c r="BP100" s="23"/>
      <c r="BQ100" s="20">
        <f t="shared" si="95"/>
        <v>0</v>
      </c>
      <c r="BR100" s="22"/>
      <c r="BS100" s="23"/>
      <c r="BT100" s="23">
        <f t="shared" si="64"/>
        <v>0</v>
      </c>
      <c r="BU100" s="23">
        <f t="shared" si="65"/>
        <v>0</v>
      </c>
      <c r="BV100" s="23">
        <f t="shared" si="66"/>
        <v>0</v>
      </c>
      <c r="BW100" s="23"/>
      <c r="BX100" s="23"/>
      <c r="BY100" s="23"/>
      <c r="BZ100" s="20">
        <f t="shared" si="96"/>
        <v>0</v>
      </c>
      <c r="CA100" s="22"/>
      <c r="CB100" s="23"/>
      <c r="CC100" s="23">
        <f t="shared" si="67"/>
        <v>0</v>
      </c>
      <c r="CD100" s="23">
        <f t="shared" si="68"/>
        <v>0</v>
      </c>
      <c r="CE100" s="23">
        <f t="shared" si="69"/>
        <v>0</v>
      </c>
      <c r="CF100" s="23"/>
      <c r="CG100" s="23"/>
      <c r="CH100" s="23"/>
      <c r="CI100" s="20">
        <f t="shared" si="97"/>
        <v>0</v>
      </c>
      <c r="CJ100" s="22"/>
      <c r="CK100" s="23"/>
      <c r="CL100" s="23">
        <f t="shared" si="70"/>
        <v>0</v>
      </c>
      <c r="CM100" s="23">
        <f t="shared" si="71"/>
        <v>0</v>
      </c>
      <c r="CN100" s="23">
        <f t="shared" si="72"/>
        <v>0</v>
      </c>
      <c r="CO100" s="23"/>
      <c r="CP100" s="23"/>
      <c r="CQ100" s="23"/>
      <c r="CR100" s="20">
        <f t="shared" si="98"/>
        <v>0</v>
      </c>
      <c r="CS100" s="22"/>
      <c r="CT100" s="23"/>
      <c r="CU100" s="23">
        <f t="shared" si="73"/>
        <v>0</v>
      </c>
      <c r="CV100" s="23">
        <f t="shared" si="74"/>
        <v>0</v>
      </c>
      <c r="CW100" s="23">
        <f t="shared" si="75"/>
        <v>0</v>
      </c>
      <c r="CX100" s="23"/>
      <c r="CY100" s="23"/>
      <c r="CZ100" s="23"/>
      <c r="DA100" s="20">
        <f t="shared" si="99"/>
        <v>0</v>
      </c>
      <c r="DB100" s="22"/>
      <c r="DC100" s="23"/>
      <c r="DD100" s="23">
        <f t="shared" si="76"/>
        <v>0</v>
      </c>
      <c r="DE100" s="23">
        <f t="shared" si="77"/>
        <v>0</v>
      </c>
      <c r="DF100" s="23">
        <f t="shared" si="78"/>
        <v>0</v>
      </c>
      <c r="DG100" s="23"/>
      <c r="DH100" s="23"/>
      <c r="DI100" s="23"/>
      <c r="DJ100" s="20">
        <f t="shared" si="100"/>
        <v>0</v>
      </c>
      <c r="DK100" s="22"/>
      <c r="DL100" s="23"/>
      <c r="DM100" s="23">
        <f t="shared" si="79"/>
        <v>0</v>
      </c>
      <c r="DN100" s="23">
        <f t="shared" si="80"/>
        <v>0</v>
      </c>
      <c r="DO100" s="23">
        <f t="shared" si="81"/>
        <v>0</v>
      </c>
      <c r="DP100" s="23"/>
      <c r="DQ100" s="23"/>
      <c r="DR100" s="23"/>
      <c r="DS100" s="20">
        <f t="shared" si="101"/>
        <v>0</v>
      </c>
      <c r="DT100" s="22"/>
      <c r="DU100" s="23"/>
      <c r="DV100" s="23">
        <f t="shared" si="82"/>
        <v>0</v>
      </c>
      <c r="DW100" s="23">
        <f t="shared" si="83"/>
        <v>0</v>
      </c>
      <c r="DX100" s="23">
        <f t="shared" si="84"/>
        <v>0</v>
      </c>
      <c r="DY100" s="23"/>
      <c r="DZ100" s="23"/>
      <c r="EA100" s="23"/>
      <c r="EB100" s="20">
        <f t="shared" si="102"/>
        <v>0</v>
      </c>
      <c r="EC100" s="22"/>
      <c r="ED100" s="23"/>
      <c r="EE100" s="23">
        <f t="shared" si="87"/>
        <v>0</v>
      </c>
      <c r="EF100" s="23">
        <f t="shared" si="85"/>
        <v>0</v>
      </c>
      <c r="EG100" s="23">
        <f t="shared" si="86"/>
        <v>0</v>
      </c>
      <c r="EH100" s="23"/>
      <c r="EI100" s="23"/>
      <c r="EJ100" s="22"/>
      <c r="EK100" s="22"/>
      <c r="EL100" s="23"/>
      <c r="EM100" s="23"/>
      <c r="EN100" s="23"/>
      <c r="EO100" s="23"/>
      <c r="EP100" s="23"/>
      <c r="EQ100" s="22"/>
      <c r="ER100" s="22"/>
      <c r="ES100" s="23"/>
      <c r="ET100" s="23"/>
      <c r="EU100" s="23"/>
      <c r="EV100" s="23"/>
    </row>
    <row r="101" spans="1:152" ht="34.5" hidden="1" customHeight="1" x14ac:dyDescent="0.2">
      <c r="A101" s="19"/>
      <c r="B101" s="20"/>
      <c r="C101" s="21"/>
      <c r="D101" s="21"/>
      <c r="E101" s="23"/>
      <c r="F101" s="20">
        <f t="shared" si="88"/>
        <v>0</v>
      </c>
      <c r="G101" s="22"/>
      <c r="H101" s="23"/>
      <c r="I101" s="23">
        <f t="shared" si="43"/>
        <v>0</v>
      </c>
      <c r="J101" s="23">
        <f t="shared" si="44"/>
        <v>0</v>
      </c>
      <c r="K101" s="23">
        <f t="shared" si="45"/>
        <v>0</v>
      </c>
      <c r="L101" s="23"/>
      <c r="M101" s="23"/>
      <c r="N101" s="23"/>
      <c r="O101" s="20">
        <f t="shared" si="89"/>
        <v>0</v>
      </c>
      <c r="P101" s="22"/>
      <c r="Q101" s="23"/>
      <c r="R101" s="23">
        <f t="shared" si="46"/>
        <v>0</v>
      </c>
      <c r="S101" s="23">
        <f t="shared" si="47"/>
        <v>0</v>
      </c>
      <c r="T101" s="23">
        <f t="shared" si="48"/>
        <v>0</v>
      </c>
      <c r="U101" s="23"/>
      <c r="V101" s="23"/>
      <c r="W101" s="23"/>
      <c r="X101" s="20">
        <f t="shared" si="90"/>
        <v>0</v>
      </c>
      <c r="Y101" s="22"/>
      <c r="Z101" s="23"/>
      <c r="AA101" s="23">
        <f t="shared" si="49"/>
        <v>0</v>
      </c>
      <c r="AB101" s="23">
        <f t="shared" si="50"/>
        <v>0</v>
      </c>
      <c r="AC101" s="23">
        <f t="shared" si="51"/>
        <v>0</v>
      </c>
      <c r="AD101" s="23"/>
      <c r="AE101" s="23"/>
      <c r="AF101" s="23"/>
      <c r="AG101" s="20">
        <f t="shared" si="91"/>
        <v>0</v>
      </c>
      <c r="AH101" s="22"/>
      <c r="AI101" s="23"/>
      <c r="AJ101" s="23">
        <f t="shared" si="52"/>
        <v>0</v>
      </c>
      <c r="AK101" s="23">
        <f t="shared" si="53"/>
        <v>0</v>
      </c>
      <c r="AL101" s="23">
        <f t="shared" si="54"/>
        <v>0</v>
      </c>
      <c r="AM101" s="23"/>
      <c r="AN101" s="23"/>
      <c r="AO101" s="23"/>
      <c r="AP101" s="20">
        <f t="shared" si="92"/>
        <v>0</v>
      </c>
      <c r="AQ101" s="22"/>
      <c r="AR101" s="23"/>
      <c r="AS101" s="23">
        <f t="shared" si="55"/>
        <v>0</v>
      </c>
      <c r="AT101" s="23">
        <f t="shared" si="56"/>
        <v>0</v>
      </c>
      <c r="AU101" s="23">
        <f t="shared" si="57"/>
        <v>0</v>
      </c>
      <c r="AV101" s="23"/>
      <c r="AW101" s="23"/>
      <c r="AX101" s="23"/>
      <c r="AY101" s="20">
        <f t="shared" si="93"/>
        <v>0</v>
      </c>
      <c r="AZ101" s="22"/>
      <c r="BA101" s="23"/>
      <c r="BB101" s="23">
        <f t="shared" si="58"/>
        <v>0</v>
      </c>
      <c r="BC101" s="23">
        <f t="shared" si="59"/>
        <v>0</v>
      </c>
      <c r="BD101" s="23">
        <f t="shared" si="60"/>
        <v>0</v>
      </c>
      <c r="BE101" s="23"/>
      <c r="BF101" s="23"/>
      <c r="BG101" s="23"/>
      <c r="BH101" s="20">
        <f t="shared" si="94"/>
        <v>0</v>
      </c>
      <c r="BI101" s="22"/>
      <c r="BJ101" s="23"/>
      <c r="BK101" s="23">
        <f t="shared" si="61"/>
        <v>0</v>
      </c>
      <c r="BL101" s="23">
        <f t="shared" si="62"/>
        <v>0</v>
      </c>
      <c r="BM101" s="23">
        <f t="shared" si="63"/>
        <v>0</v>
      </c>
      <c r="BN101" s="23"/>
      <c r="BO101" s="23"/>
      <c r="BP101" s="23"/>
      <c r="BQ101" s="20">
        <f t="shared" si="95"/>
        <v>0</v>
      </c>
      <c r="BR101" s="22"/>
      <c r="BS101" s="23"/>
      <c r="BT101" s="23">
        <f t="shared" si="64"/>
        <v>0</v>
      </c>
      <c r="BU101" s="23">
        <f t="shared" si="65"/>
        <v>0</v>
      </c>
      <c r="BV101" s="23">
        <f t="shared" si="66"/>
        <v>0</v>
      </c>
      <c r="BW101" s="23"/>
      <c r="BX101" s="23"/>
      <c r="BY101" s="23"/>
      <c r="BZ101" s="20">
        <f t="shared" si="96"/>
        <v>0</v>
      </c>
      <c r="CA101" s="22"/>
      <c r="CB101" s="23"/>
      <c r="CC101" s="23">
        <f t="shared" si="67"/>
        <v>0</v>
      </c>
      <c r="CD101" s="23">
        <f t="shared" si="68"/>
        <v>0</v>
      </c>
      <c r="CE101" s="23">
        <f t="shared" si="69"/>
        <v>0</v>
      </c>
      <c r="CF101" s="23"/>
      <c r="CG101" s="23"/>
      <c r="CH101" s="23"/>
      <c r="CI101" s="20">
        <f t="shared" si="97"/>
        <v>0</v>
      </c>
      <c r="CJ101" s="22"/>
      <c r="CK101" s="23"/>
      <c r="CL101" s="23">
        <f t="shared" si="70"/>
        <v>0</v>
      </c>
      <c r="CM101" s="23">
        <f t="shared" si="71"/>
        <v>0</v>
      </c>
      <c r="CN101" s="23">
        <f t="shared" si="72"/>
        <v>0</v>
      </c>
      <c r="CO101" s="23"/>
      <c r="CP101" s="23"/>
      <c r="CQ101" s="23"/>
      <c r="CR101" s="20">
        <f t="shared" si="98"/>
        <v>0</v>
      </c>
      <c r="CS101" s="22"/>
      <c r="CT101" s="23"/>
      <c r="CU101" s="23">
        <f t="shared" si="73"/>
        <v>0</v>
      </c>
      <c r="CV101" s="23">
        <f t="shared" si="74"/>
        <v>0</v>
      </c>
      <c r="CW101" s="23">
        <f t="shared" si="75"/>
        <v>0</v>
      </c>
      <c r="CX101" s="23"/>
      <c r="CY101" s="23"/>
      <c r="CZ101" s="23"/>
      <c r="DA101" s="20">
        <f t="shared" si="99"/>
        <v>0</v>
      </c>
      <c r="DB101" s="22"/>
      <c r="DC101" s="23"/>
      <c r="DD101" s="23">
        <f t="shared" si="76"/>
        <v>0</v>
      </c>
      <c r="DE101" s="23">
        <f t="shared" si="77"/>
        <v>0</v>
      </c>
      <c r="DF101" s="23">
        <f t="shared" si="78"/>
        <v>0</v>
      </c>
      <c r="DG101" s="23"/>
      <c r="DH101" s="23"/>
      <c r="DI101" s="23"/>
      <c r="DJ101" s="20">
        <f t="shared" si="100"/>
        <v>0</v>
      </c>
      <c r="DK101" s="22"/>
      <c r="DL101" s="23"/>
      <c r="DM101" s="23">
        <f t="shared" si="79"/>
        <v>0</v>
      </c>
      <c r="DN101" s="23">
        <f t="shared" si="80"/>
        <v>0</v>
      </c>
      <c r="DO101" s="23">
        <f t="shared" si="81"/>
        <v>0</v>
      </c>
      <c r="DP101" s="23"/>
      <c r="DQ101" s="23"/>
      <c r="DR101" s="23"/>
      <c r="DS101" s="20">
        <f t="shared" si="101"/>
        <v>0</v>
      </c>
      <c r="DT101" s="22"/>
      <c r="DU101" s="23"/>
      <c r="DV101" s="23">
        <f t="shared" si="82"/>
        <v>0</v>
      </c>
      <c r="DW101" s="23">
        <f t="shared" si="83"/>
        <v>0</v>
      </c>
      <c r="DX101" s="23">
        <f t="shared" si="84"/>
        <v>0</v>
      </c>
      <c r="DY101" s="23"/>
      <c r="DZ101" s="23"/>
      <c r="EA101" s="23"/>
      <c r="EB101" s="20">
        <f t="shared" si="102"/>
        <v>0</v>
      </c>
      <c r="EC101" s="22"/>
      <c r="ED101" s="23"/>
      <c r="EE101" s="23">
        <f t="shared" si="87"/>
        <v>0</v>
      </c>
      <c r="EF101" s="23">
        <f t="shared" si="85"/>
        <v>0</v>
      </c>
      <c r="EG101" s="23">
        <f t="shared" si="86"/>
        <v>0</v>
      </c>
      <c r="EH101" s="23"/>
      <c r="EI101" s="23"/>
      <c r="EJ101" s="22"/>
      <c r="EK101" s="22"/>
      <c r="EL101" s="23"/>
      <c r="EM101" s="23"/>
      <c r="EN101" s="23"/>
      <c r="EO101" s="23"/>
      <c r="EP101" s="23"/>
      <c r="EQ101" s="22"/>
      <c r="ER101" s="22"/>
      <c r="ES101" s="23"/>
      <c r="ET101" s="23"/>
      <c r="EU101" s="23"/>
      <c r="EV101" s="23"/>
    </row>
    <row r="102" spans="1:152" ht="36.75" hidden="1" customHeight="1" x14ac:dyDescent="0.2">
      <c r="A102" s="19"/>
      <c r="B102" s="20"/>
      <c r="C102" s="21"/>
      <c r="D102" s="21"/>
      <c r="E102" s="23"/>
      <c r="F102" s="20">
        <f t="shared" si="88"/>
        <v>0</v>
      </c>
      <c r="G102" s="22"/>
      <c r="H102" s="23"/>
      <c r="I102" s="23">
        <f t="shared" si="43"/>
        <v>0</v>
      </c>
      <c r="J102" s="23">
        <f t="shared" si="44"/>
        <v>0</v>
      </c>
      <c r="K102" s="23">
        <f t="shared" si="45"/>
        <v>0</v>
      </c>
      <c r="L102" s="23"/>
      <c r="M102" s="23"/>
      <c r="N102" s="23"/>
      <c r="O102" s="20">
        <f t="shared" si="89"/>
        <v>0</v>
      </c>
      <c r="P102" s="22"/>
      <c r="Q102" s="23"/>
      <c r="R102" s="23">
        <f t="shared" si="46"/>
        <v>0</v>
      </c>
      <c r="S102" s="23">
        <f t="shared" si="47"/>
        <v>0</v>
      </c>
      <c r="T102" s="23">
        <f t="shared" si="48"/>
        <v>0</v>
      </c>
      <c r="U102" s="23"/>
      <c r="V102" s="23"/>
      <c r="W102" s="23"/>
      <c r="X102" s="20">
        <f t="shared" si="90"/>
        <v>0</v>
      </c>
      <c r="Y102" s="22"/>
      <c r="Z102" s="23"/>
      <c r="AA102" s="23">
        <f t="shared" si="49"/>
        <v>0</v>
      </c>
      <c r="AB102" s="23">
        <f t="shared" si="50"/>
        <v>0</v>
      </c>
      <c r="AC102" s="23">
        <f t="shared" si="51"/>
        <v>0</v>
      </c>
      <c r="AD102" s="23"/>
      <c r="AE102" s="23"/>
      <c r="AF102" s="23"/>
      <c r="AG102" s="20">
        <f t="shared" si="91"/>
        <v>0</v>
      </c>
      <c r="AH102" s="22"/>
      <c r="AI102" s="23"/>
      <c r="AJ102" s="23">
        <f t="shared" si="52"/>
        <v>0</v>
      </c>
      <c r="AK102" s="23">
        <f t="shared" si="53"/>
        <v>0</v>
      </c>
      <c r="AL102" s="23">
        <f t="shared" si="54"/>
        <v>0</v>
      </c>
      <c r="AM102" s="23"/>
      <c r="AN102" s="23"/>
      <c r="AO102" s="23"/>
      <c r="AP102" s="20">
        <f t="shared" si="92"/>
        <v>0</v>
      </c>
      <c r="AQ102" s="22"/>
      <c r="AR102" s="23"/>
      <c r="AS102" s="23">
        <f t="shared" si="55"/>
        <v>0</v>
      </c>
      <c r="AT102" s="23">
        <f t="shared" si="56"/>
        <v>0</v>
      </c>
      <c r="AU102" s="23">
        <f t="shared" si="57"/>
        <v>0</v>
      </c>
      <c r="AV102" s="23"/>
      <c r="AW102" s="23"/>
      <c r="AX102" s="23"/>
      <c r="AY102" s="20">
        <f t="shared" si="93"/>
        <v>0</v>
      </c>
      <c r="AZ102" s="22"/>
      <c r="BA102" s="23"/>
      <c r="BB102" s="23">
        <f t="shared" si="58"/>
        <v>0</v>
      </c>
      <c r="BC102" s="23">
        <f t="shared" si="59"/>
        <v>0</v>
      </c>
      <c r="BD102" s="23">
        <f t="shared" si="60"/>
        <v>0</v>
      </c>
      <c r="BE102" s="23"/>
      <c r="BF102" s="23"/>
      <c r="BG102" s="23"/>
      <c r="BH102" s="20">
        <f t="shared" si="94"/>
        <v>0</v>
      </c>
      <c r="BI102" s="22"/>
      <c r="BJ102" s="23"/>
      <c r="BK102" s="23">
        <f t="shared" si="61"/>
        <v>0</v>
      </c>
      <c r="BL102" s="23">
        <f t="shared" si="62"/>
        <v>0</v>
      </c>
      <c r="BM102" s="23">
        <f t="shared" si="63"/>
        <v>0</v>
      </c>
      <c r="BN102" s="23"/>
      <c r="BO102" s="23"/>
      <c r="BP102" s="23"/>
      <c r="BQ102" s="20">
        <f t="shared" si="95"/>
        <v>0</v>
      </c>
      <c r="BR102" s="22"/>
      <c r="BS102" s="23"/>
      <c r="BT102" s="23">
        <f t="shared" si="64"/>
        <v>0</v>
      </c>
      <c r="BU102" s="23">
        <f t="shared" si="65"/>
        <v>0</v>
      </c>
      <c r="BV102" s="23">
        <f t="shared" si="66"/>
        <v>0</v>
      </c>
      <c r="BW102" s="23"/>
      <c r="BX102" s="23"/>
      <c r="BY102" s="23"/>
      <c r="BZ102" s="20">
        <f t="shared" si="96"/>
        <v>0</v>
      </c>
      <c r="CA102" s="22"/>
      <c r="CB102" s="23"/>
      <c r="CC102" s="23">
        <f t="shared" si="67"/>
        <v>0</v>
      </c>
      <c r="CD102" s="23">
        <f t="shared" si="68"/>
        <v>0</v>
      </c>
      <c r="CE102" s="23">
        <f t="shared" si="69"/>
        <v>0</v>
      </c>
      <c r="CF102" s="23"/>
      <c r="CG102" s="23"/>
      <c r="CH102" s="23"/>
      <c r="CI102" s="20">
        <f t="shared" si="97"/>
        <v>0</v>
      </c>
      <c r="CJ102" s="22"/>
      <c r="CK102" s="23"/>
      <c r="CL102" s="23">
        <f t="shared" si="70"/>
        <v>0</v>
      </c>
      <c r="CM102" s="23">
        <f t="shared" si="71"/>
        <v>0</v>
      </c>
      <c r="CN102" s="23">
        <f t="shared" si="72"/>
        <v>0</v>
      </c>
      <c r="CO102" s="23"/>
      <c r="CP102" s="23"/>
      <c r="CQ102" s="23"/>
      <c r="CR102" s="20">
        <f t="shared" si="98"/>
        <v>0</v>
      </c>
      <c r="CS102" s="22"/>
      <c r="CT102" s="23"/>
      <c r="CU102" s="23">
        <f t="shared" si="73"/>
        <v>0</v>
      </c>
      <c r="CV102" s="23">
        <f t="shared" si="74"/>
        <v>0</v>
      </c>
      <c r="CW102" s="23">
        <f t="shared" si="75"/>
        <v>0</v>
      </c>
      <c r="CX102" s="23"/>
      <c r="CY102" s="23"/>
      <c r="CZ102" s="23"/>
      <c r="DA102" s="20">
        <f t="shared" si="99"/>
        <v>0</v>
      </c>
      <c r="DB102" s="22"/>
      <c r="DC102" s="23"/>
      <c r="DD102" s="23">
        <f t="shared" si="76"/>
        <v>0</v>
      </c>
      <c r="DE102" s="23">
        <f t="shared" si="77"/>
        <v>0</v>
      </c>
      <c r="DF102" s="23">
        <f t="shared" si="78"/>
        <v>0</v>
      </c>
      <c r="DG102" s="23"/>
      <c r="DH102" s="23"/>
      <c r="DI102" s="23"/>
      <c r="DJ102" s="20">
        <f t="shared" si="100"/>
        <v>0</v>
      </c>
      <c r="DK102" s="22"/>
      <c r="DL102" s="23"/>
      <c r="DM102" s="23">
        <f t="shared" si="79"/>
        <v>0</v>
      </c>
      <c r="DN102" s="23">
        <f t="shared" si="80"/>
        <v>0</v>
      </c>
      <c r="DO102" s="23">
        <f t="shared" si="81"/>
        <v>0</v>
      </c>
      <c r="DP102" s="23"/>
      <c r="DQ102" s="23"/>
      <c r="DR102" s="23"/>
      <c r="DS102" s="20">
        <f t="shared" si="101"/>
        <v>0</v>
      </c>
      <c r="DT102" s="22"/>
      <c r="DU102" s="23"/>
      <c r="DV102" s="23">
        <f t="shared" si="82"/>
        <v>0</v>
      </c>
      <c r="DW102" s="23">
        <f t="shared" si="83"/>
        <v>0</v>
      </c>
      <c r="DX102" s="23">
        <f t="shared" si="84"/>
        <v>0</v>
      </c>
      <c r="DY102" s="23"/>
      <c r="DZ102" s="23"/>
      <c r="EA102" s="23"/>
      <c r="EB102" s="20">
        <f t="shared" si="102"/>
        <v>0</v>
      </c>
      <c r="EC102" s="22"/>
      <c r="ED102" s="23"/>
      <c r="EE102" s="23">
        <f t="shared" si="87"/>
        <v>0</v>
      </c>
      <c r="EF102" s="23">
        <f t="shared" si="85"/>
        <v>0</v>
      </c>
      <c r="EG102" s="23">
        <f t="shared" si="86"/>
        <v>0</v>
      </c>
      <c r="EH102" s="23"/>
      <c r="EI102" s="23"/>
      <c r="EJ102" s="22"/>
      <c r="EK102" s="22"/>
      <c r="EL102" s="23"/>
      <c r="EM102" s="23"/>
      <c r="EN102" s="23"/>
      <c r="EO102" s="23"/>
      <c r="EP102" s="23"/>
      <c r="EQ102" s="22"/>
      <c r="ER102" s="22"/>
      <c r="ES102" s="23"/>
      <c r="ET102" s="23"/>
      <c r="EU102" s="23"/>
      <c r="EV102" s="23"/>
    </row>
    <row r="103" spans="1:152" ht="36.75" hidden="1" customHeight="1" x14ac:dyDescent="0.2">
      <c r="A103" s="19"/>
      <c r="B103" s="20"/>
      <c r="C103" s="21"/>
      <c r="D103" s="21"/>
      <c r="E103" s="23"/>
      <c r="F103" s="20">
        <f t="shared" si="88"/>
        <v>0</v>
      </c>
      <c r="G103" s="22"/>
      <c r="H103" s="23"/>
      <c r="I103" s="23">
        <f t="shared" si="43"/>
        <v>0</v>
      </c>
      <c r="J103" s="23">
        <f t="shared" si="44"/>
        <v>0</v>
      </c>
      <c r="K103" s="23">
        <f t="shared" si="45"/>
        <v>0</v>
      </c>
      <c r="L103" s="23"/>
      <c r="M103" s="23"/>
      <c r="N103" s="23"/>
      <c r="O103" s="20">
        <f t="shared" si="89"/>
        <v>0</v>
      </c>
      <c r="P103" s="22"/>
      <c r="Q103" s="23"/>
      <c r="R103" s="23">
        <f t="shared" si="46"/>
        <v>0</v>
      </c>
      <c r="S103" s="23">
        <f t="shared" si="47"/>
        <v>0</v>
      </c>
      <c r="T103" s="23">
        <f t="shared" si="48"/>
        <v>0</v>
      </c>
      <c r="U103" s="23"/>
      <c r="V103" s="23"/>
      <c r="W103" s="23"/>
      <c r="X103" s="20">
        <f t="shared" si="90"/>
        <v>0</v>
      </c>
      <c r="Y103" s="22"/>
      <c r="Z103" s="23"/>
      <c r="AA103" s="23">
        <f t="shared" si="49"/>
        <v>0</v>
      </c>
      <c r="AB103" s="23">
        <f t="shared" si="50"/>
        <v>0</v>
      </c>
      <c r="AC103" s="23">
        <f t="shared" si="51"/>
        <v>0</v>
      </c>
      <c r="AD103" s="23"/>
      <c r="AE103" s="23"/>
      <c r="AF103" s="23"/>
      <c r="AG103" s="20">
        <f t="shared" si="91"/>
        <v>0</v>
      </c>
      <c r="AH103" s="22"/>
      <c r="AI103" s="23"/>
      <c r="AJ103" s="23">
        <f t="shared" si="52"/>
        <v>0</v>
      </c>
      <c r="AK103" s="23">
        <f t="shared" si="53"/>
        <v>0</v>
      </c>
      <c r="AL103" s="23">
        <f t="shared" si="54"/>
        <v>0</v>
      </c>
      <c r="AM103" s="23"/>
      <c r="AN103" s="23"/>
      <c r="AO103" s="23"/>
      <c r="AP103" s="20">
        <f t="shared" si="92"/>
        <v>0</v>
      </c>
      <c r="AQ103" s="22"/>
      <c r="AR103" s="23"/>
      <c r="AS103" s="23">
        <f t="shared" si="55"/>
        <v>0</v>
      </c>
      <c r="AT103" s="23">
        <f t="shared" si="56"/>
        <v>0</v>
      </c>
      <c r="AU103" s="23">
        <f t="shared" si="57"/>
        <v>0</v>
      </c>
      <c r="AV103" s="23"/>
      <c r="AW103" s="23"/>
      <c r="AX103" s="23"/>
      <c r="AY103" s="20">
        <f t="shared" si="93"/>
        <v>0</v>
      </c>
      <c r="AZ103" s="22"/>
      <c r="BA103" s="23"/>
      <c r="BB103" s="23">
        <f t="shared" si="58"/>
        <v>0</v>
      </c>
      <c r="BC103" s="23">
        <f t="shared" si="59"/>
        <v>0</v>
      </c>
      <c r="BD103" s="23">
        <f t="shared" si="60"/>
        <v>0</v>
      </c>
      <c r="BE103" s="23"/>
      <c r="BF103" s="23"/>
      <c r="BG103" s="23"/>
      <c r="BH103" s="20">
        <f t="shared" si="94"/>
        <v>0</v>
      </c>
      <c r="BI103" s="22"/>
      <c r="BJ103" s="23"/>
      <c r="BK103" s="23">
        <f t="shared" si="61"/>
        <v>0</v>
      </c>
      <c r="BL103" s="23">
        <f t="shared" si="62"/>
        <v>0</v>
      </c>
      <c r="BM103" s="23">
        <f t="shared" si="63"/>
        <v>0</v>
      </c>
      <c r="BN103" s="23"/>
      <c r="BO103" s="23"/>
      <c r="BP103" s="23"/>
      <c r="BQ103" s="20">
        <f t="shared" si="95"/>
        <v>0</v>
      </c>
      <c r="BR103" s="22"/>
      <c r="BS103" s="23"/>
      <c r="BT103" s="23">
        <f t="shared" si="64"/>
        <v>0</v>
      </c>
      <c r="BU103" s="23">
        <f t="shared" si="65"/>
        <v>0</v>
      </c>
      <c r="BV103" s="23">
        <f t="shared" si="66"/>
        <v>0</v>
      </c>
      <c r="BW103" s="23"/>
      <c r="BX103" s="23"/>
      <c r="BY103" s="23"/>
      <c r="BZ103" s="20">
        <f t="shared" si="96"/>
        <v>0</v>
      </c>
      <c r="CA103" s="22"/>
      <c r="CB103" s="23"/>
      <c r="CC103" s="23">
        <f t="shared" si="67"/>
        <v>0</v>
      </c>
      <c r="CD103" s="23">
        <f t="shared" si="68"/>
        <v>0</v>
      </c>
      <c r="CE103" s="23">
        <f t="shared" si="69"/>
        <v>0</v>
      </c>
      <c r="CF103" s="23"/>
      <c r="CG103" s="23"/>
      <c r="CH103" s="23"/>
      <c r="CI103" s="20">
        <f t="shared" si="97"/>
        <v>0</v>
      </c>
      <c r="CJ103" s="22"/>
      <c r="CK103" s="23"/>
      <c r="CL103" s="23">
        <f t="shared" si="70"/>
        <v>0</v>
      </c>
      <c r="CM103" s="23">
        <f t="shared" si="71"/>
        <v>0</v>
      </c>
      <c r="CN103" s="23">
        <f t="shared" si="72"/>
        <v>0</v>
      </c>
      <c r="CO103" s="23"/>
      <c r="CP103" s="23"/>
      <c r="CQ103" s="23"/>
      <c r="CR103" s="20">
        <f t="shared" si="98"/>
        <v>0</v>
      </c>
      <c r="CS103" s="22"/>
      <c r="CT103" s="23"/>
      <c r="CU103" s="23">
        <f t="shared" si="73"/>
        <v>0</v>
      </c>
      <c r="CV103" s="23">
        <f t="shared" si="74"/>
        <v>0</v>
      </c>
      <c r="CW103" s="23">
        <f t="shared" si="75"/>
        <v>0</v>
      </c>
      <c r="CX103" s="23"/>
      <c r="CY103" s="23"/>
      <c r="CZ103" s="23"/>
      <c r="DA103" s="20">
        <f t="shared" si="99"/>
        <v>0</v>
      </c>
      <c r="DB103" s="22"/>
      <c r="DC103" s="23"/>
      <c r="DD103" s="23">
        <f t="shared" si="76"/>
        <v>0</v>
      </c>
      <c r="DE103" s="23">
        <f t="shared" si="77"/>
        <v>0</v>
      </c>
      <c r="DF103" s="23">
        <f t="shared" si="78"/>
        <v>0</v>
      </c>
      <c r="DG103" s="23"/>
      <c r="DH103" s="23"/>
      <c r="DI103" s="23"/>
      <c r="DJ103" s="20">
        <f t="shared" si="100"/>
        <v>0</v>
      </c>
      <c r="DK103" s="22"/>
      <c r="DL103" s="23"/>
      <c r="DM103" s="23">
        <f t="shared" si="79"/>
        <v>0</v>
      </c>
      <c r="DN103" s="23">
        <f t="shared" si="80"/>
        <v>0</v>
      </c>
      <c r="DO103" s="23">
        <f t="shared" si="81"/>
        <v>0</v>
      </c>
      <c r="DP103" s="23"/>
      <c r="DQ103" s="23"/>
      <c r="DR103" s="23"/>
      <c r="DS103" s="20">
        <f t="shared" si="101"/>
        <v>0</v>
      </c>
      <c r="DT103" s="22"/>
      <c r="DU103" s="23"/>
      <c r="DV103" s="23">
        <f t="shared" si="82"/>
        <v>0</v>
      </c>
      <c r="DW103" s="23">
        <f t="shared" si="83"/>
        <v>0</v>
      </c>
      <c r="DX103" s="23">
        <f t="shared" si="84"/>
        <v>0</v>
      </c>
      <c r="DY103" s="23"/>
      <c r="DZ103" s="23"/>
      <c r="EA103" s="23"/>
      <c r="EB103" s="20">
        <f t="shared" si="102"/>
        <v>0</v>
      </c>
      <c r="EC103" s="22"/>
      <c r="ED103" s="23"/>
      <c r="EE103" s="23">
        <f t="shared" si="87"/>
        <v>0</v>
      </c>
      <c r="EF103" s="23">
        <f t="shared" si="85"/>
        <v>0</v>
      </c>
      <c r="EG103" s="23">
        <f t="shared" si="86"/>
        <v>0</v>
      </c>
      <c r="EH103" s="23"/>
      <c r="EI103" s="23"/>
      <c r="EJ103" s="22"/>
      <c r="EK103" s="22"/>
      <c r="EL103" s="23"/>
      <c r="EM103" s="23"/>
      <c r="EN103" s="23"/>
      <c r="EO103" s="23"/>
      <c r="EP103" s="23"/>
      <c r="EQ103" s="22"/>
      <c r="ER103" s="22"/>
      <c r="ES103" s="23"/>
      <c r="ET103" s="23"/>
      <c r="EU103" s="23"/>
      <c r="EV103" s="23"/>
    </row>
    <row r="104" spans="1:152" ht="39" hidden="1" customHeight="1" x14ac:dyDescent="0.2">
      <c r="A104" s="19"/>
      <c r="B104" s="20"/>
      <c r="C104" s="21"/>
      <c r="D104" s="21"/>
      <c r="E104" s="23"/>
      <c r="F104" s="20">
        <f t="shared" si="88"/>
        <v>0</v>
      </c>
      <c r="G104" s="22"/>
      <c r="H104" s="23"/>
      <c r="I104" s="23">
        <f t="shared" si="43"/>
        <v>0</v>
      </c>
      <c r="J104" s="23">
        <f t="shared" si="44"/>
        <v>0</v>
      </c>
      <c r="K104" s="23">
        <f t="shared" si="45"/>
        <v>0</v>
      </c>
      <c r="L104" s="23"/>
      <c r="M104" s="23"/>
      <c r="N104" s="23"/>
      <c r="O104" s="20">
        <f t="shared" si="89"/>
        <v>0</v>
      </c>
      <c r="P104" s="22"/>
      <c r="Q104" s="23"/>
      <c r="R104" s="23">
        <f t="shared" si="46"/>
        <v>0</v>
      </c>
      <c r="S104" s="23">
        <f t="shared" si="47"/>
        <v>0</v>
      </c>
      <c r="T104" s="23">
        <f t="shared" si="48"/>
        <v>0</v>
      </c>
      <c r="U104" s="23"/>
      <c r="V104" s="23"/>
      <c r="W104" s="23"/>
      <c r="X104" s="20">
        <f t="shared" si="90"/>
        <v>0</v>
      </c>
      <c r="Y104" s="22"/>
      <c r="Z104" s="23"/>
      <c r="AA104" s="23">
        <f t="shared" si="49"/>
        <v>0</v>
      </c>
      <c r="AB104" s="23">
        <f t="shared" si="50"/>
        <v>0</v>
      </c>
      <c r="AC104" s="23">
        <f t="shared" si="51"/>
        <v>0</v>
      </c>
      <c r="AD104" s="23"/>
      <c r="AE104" s="23"/>
      <c r="AF104" s="23"/>
      <c r="AG104" s="20">
        <f t="shared" si="91"/>
        <v>0</v>
      </c>
      <c r="AH104" s="22"/>
      <c r="AI104" s="23"/>
      <c r="AJ104" s="23">
        <f t="shared" si="52"/>
        <v>0</v>
      </c>
      <c r="AK104" s="23">
        <f t="shared" si="53"/>
        <v>0</v>
      </c>
      <c r="AL104" s="23">
        <f t="shared" si="54"/>
        <v>0</v>
      </c>
      <c r="AM104" s="23"/>
      <c r="AN104" s="23"/>
      <c r="AO104" s="23"/>
      <c r="AP104" s="20">
        <f t="shared" si="92"/>
        <v>0</v>
      </c>
      <c r="AQ104" s="22"/>
      <c r="AR104" s="23"/>
      <c r="AS104" s="23">
        <f t="shared" si="55"/>
        <v>0</v>
      </c>
      <c r="AT104" s="23">
        <f t="shared" si="56"/>
        <v>0</v>
      </c>
      <c r="AU104" s="23">
        <f t="shared" si="57"/>
        <v>0</v>
      </c>
      <c r="AV104" s="23"/>
      <c r="AW104" s="23"/>
      <c r="AX104" s="23"/>
      <c r="AY104" s="20">
        <f t="shared" si="93"/>
        <v>0</v>
      </c>
      <c r="AZ104" s="22"/>
      <c r="BA104" s="23"/>
      <c r="BB104" s="23">
        <f t="shared" si="58"/>
        <v>0</v>
      </c>
      <c r="BC104" s="23">
        <f t="shared" si="59"/>
        <v>0</v>
      </c>
      <c r="BD104" s="23">
        <f t="shared" si="60"/>
        <v>0</v>
      </c>
      <c r="BE104" s="23"/>
      <c r="BF104" s="23"/>
      <c r="BG104" s="23"/>
      <c r="BH104" s="20">
        <f t="shared" si="94"/>
        <v>0</v>
      </c>
      <c r="BI104" s="22"/>
      <c r="BJ104" s="23"/>
      <c r="BK104" s="23">
        <f t="shared" si="61"/>
        <v>0</v>
      </c>
      <c r="BL104" s="23">
        <f t="shared" si="62"/>
        <v>0</v>
      </c>
      <c r="BM104" s="23">
        <f t="shared" si="63"/>
        <v>0</v>
      </c>
      <c r="BN104" s="23"/>
      <c r="BO104" s="23"/>
      <c r="BP104" s="23"/>
      <c r="BQ104" s="20">
        <f t="shared" si="95"/>
        <v>0</v>
      </c>
      <c r="BR104" s="22"/>
      <c r="BS104" s="23"/>
      <c r="BT104" s="23">
        <f t="shared" si="64"/>
        <v>0</v>
      </c>
      <c r="BU104" s="23">
        <f t="shared" si="65"/>
        <v>0</v>
      </c>
      <c r="BV104" s="23">
        <f t="shared" si="66"/>
        <v>0</v>
      </c>
      <c r="BW104" s="23"/>
      <c r="BX104" s="23"/>
      <c r="BY104" s="23"/>
      <c r="BZ104" s="20">
        <f t="shared" si="96"/>
        <v>0</v>
      </c>
      <c r="CA104" s="22"/>
      <c r="CB104" s="23"/>
      <c r="CC104" s="23">
        <f t="shared" si="67"/>
        <v>0</v>
      </c>
      <c r="CD104" s="23">
        <f t="shared" si="68"/>
        <v>0</v>
      </c>
      <c r="CE104" s="23">
        <f t="shared" si="69"/>
        <v>0</v>
      </c>
      <c r="CF104" s="23"/>
      <c r="CG104" s="23"/>
      <c r="CH104" s="23"/>
      <c r="CI104" s="20">
        <f t="shared" si="97"/>
        <v>0</v>
      </c>
      <c r="CJ104" s="22"/>
      <c r="CK104" s="23"/>
      <c r="CL104" s="23">
        <f t="shared" si="70"/>
        <v>0</v>
      </c>
      <c r="CM104" s="23">
        <f t="shared" si="71"/>
        <v>0</v>
      </c>
      <c r="CN104" s="23">
        <f t="shared" si="72"/>
        <v>0</v>
      </c>
      <c r="CO104" s="23"/>
      <c r="CP104" s="23"/>
      <c r="CQ104" s="23"/>
      <c r="CR104" s="20">
        <f t="shared" si="98"/>
        <v>0</v>
      </c>
      <c r="CS104" s="22"/>
      <c r="CT104" s="23"/>
      <c r="CU104" s="23">
        <f t="shared" si="73"/>
        <v>0</v>
      </c>
      <c r="CV104" s="23">
        <f t="shared" si="74"/>
        <v>0</v>
      </c>
      <c r="CW104" s="23">
        <f t="shared" si="75"/>
        <v>0</v>
      </c>
      <c r="CX104" s="23"/>
      <c r="CY104" s="23"/>
      <c r="CZ104" s="23"/>
      <c r="DA104" s="20">
        <f t="shared" si="99"/>
        <v>0</v>
      </c>
      <c r="DB104" s="22"/>
      <c r="DC104" s="23"/>
      <c r="DD104" s="23">
        <f t="shared" si="76"/>
        <v>0</v>
      </c>
      <c r="DE104" s="23">
        <f t="shared" si="77"/>
        <v>0</v>
      </c>
      <c r="DF104" s="23">
        <f t="shared" si="78"/>
        <v>0</v>
      </c>
      <c r="DG104" s="23"/>
      <c r="DH104" s="23"/>
      <c r="DI104" s="23"/>
      <c r="DJ104" s="20">
        <f t="shared" si="100"/>
        <v>0</v>
      </c>
      <c r="DK104" s="22"/>
      <c r="DL104" s="23"/>
      <c r="DM104" s="23">
        <f t="shared" si="79"/>
        <v>0</v>
      </c>
      <c r="DN104" s="23">
        <f t="shared" si="80"/>
        <v>0</v>
      </c>
      <c r="DO104" s="23">
        <f t="shared" si="81"/>
        <v>0</v>
      </c>
      <c r="DP104" s="23"/>
      <c r="DQ104" s="23"/>
      <c r="DR104" s="23"/>
      <c r="DS104" s="20">
        <f t="shared" si="101"/>
        <v>0</v>
      </c>
      <c r="DT104" s="22"/>
      <c r="DU104" s="23"/>
      <c r="DV104" s="23">
        <f t="shared" si="82"/>
        <v>0</v>
      </c>
      <c r="DW104" s="23">
        <f t="shared" si="83"/>
        <v>0</v>
      </c>
      <c r="DX104" s="23">
        <f t="shared" si="84"/>
        <v>0</v>
      </c>
      <c r="DY104" s="23"/>
      <c r="DZ104" s="23"/>
      <c r="EA104" s="23"/>
      <c r="EB104" s="20">
        <f t="shared" si="102"/>
        <v>0</v>
      </c>
      <c r="EC104" s="22"/>
      <c r="ED104" s="23"/>
      <c r="EE104" s="23">
        <f t="shared" si="87"/>
        <v>0</v>
      </c>
      <c r="EF104" s="23">
        <f t="shared" si="85"/>
        <v>0</v>
      </c>
      <c r="EG104" s="23">
        <f t="shared" si="86"/>
        <v>0</v>
      </c>
      <c r="EH104" s="23"/>
      <c r="EI104" s="23"/>
      <c r="EJ104" s="22"/>
      <c r="EK104" s="22"/>
      <c r="EL104" s="23"/>
      <c r="EM104" s="23"/>
      <c r="EN104" s="23"/>
      <c r="EO104" s="23"/>
      <c r="EP104" s="23"/>
      <c r="EQ104" s="22"/>
      <c r="ER104" s="22"/>
      <c r="ES104" s="23"/>
      <c r="ET104" s="23"/>
      <c r="EU104" s="23"/>
      <c r="EV104" s="23"/>
    </row>
    <row r="105" spans="1:152" ht="39" hidden="1" customHeight="1" x14ac:dyDescent="0.2">
      <c r="A105" s="19"/>
      <c r="B105" s="20"/>
      <c r="C105" s="21"/>
      <c r="D105" s="21"/>
      <c r="E105" s="23"/>
      <c r="F105" s="20">
        <f t="shared" si="88"/>
        <v>0</v>
      </c>
      <c r="G105" s="23"/>
      <c r="H105" s="23"/>
      <c r="I105" s="23">
        <f t="shared" si="43"/>
        <v>0</v>
      </c>
      <c r="J105" s="23">
        <f t="shared" si="44"/>
        <v>0</v>
      </c>
      <c r="K105" s="23">
        <f t="shared" si="45"/>
        <v>0</v>
      </c>
      <c r="L105" s="23"/>
      <c r="M105" s="23"/>
      <c r="N105" s="23"/>
      <c r="O105" s="20">
        <f t="shared" si="89"/>
        <v>0</v>
      </c>
      <c r="P105" s="23"/>
      <c r="Q105" s="23"/>
      <c r="R105" s="23">
        <f t="shared" si="46"/>
        <v>0</v>
      </c>
      <c r="S105" s="23">
        <f t="shared" si="47"/>
        <v>0</v>
      </c>
      <c r="T105" s="23">
        <f t="shared" si="48"/>
        <v>0</v>
      </c>
      <c r="U105" s="23"/>
      <c r="V105" s="23"/>
      <c r="W105" s="23"/>
      <c r="X105" s="20">
        <f t="shared" si="90"/>
        <v>0</v>
      </c>
      <c r="Y105" s="23"/>
      <c r="Z105" s="23"/>
      <c r="AA105" s="23">
        <f t="shared" si="49"/>
        <v>0</v>
      </c>
      <c r="AB105" s="23">
        <f t="shared" si="50"/>
        <v>0</v>
      </c>
      <c r="AC105" s="23">
        <f t="shared" si="51"/>
        <v>0</v>
      </c>
      <c r="AD105" s="23"/>
      <c r="AE105" s="23"/>
      <c r="AF105" s="23"/>
      <c r="AG105" s="20">
        <f t="shared" si="91"/>
        <v>0</v>
      </c>
      <c r="AH105" s="23"/>
      <c r="AI105" s="23"/>
      <c r="AJ105" s="23">
        <f t="shared" si="52"/>
        <v>0</v>
      </c>
      <c r="AK105" s="23">
        <f t="shared" si="53"/>
        <v>0</v>
      </c>
      <c r="AL105" s="23">
        <f t="shared" si="54"/>
        <v>0</v>
      </c>
      <c r="AM105" s="23"/>
      <c r="AN105" s="23"/>
      <c r="AO105" s="23"/>
      <c r="AP105" s="20">
        <f t="shared" si="92"/>
        <v>0</v>
      </c>
      <c r="AQ105" s="23"/>
      <c r="AR105" s="23"/>
      <c r="AS105" s="23">
        <f t="shared" si="55"/>
        <v>0</v>
      </c>
      <c r="AT105" s="23">
        <f t="shared" si="56"/>
        <v>0</v>
      </c>
      <c r="AU105" s="23">
        <f t="shared" si="57"/>
        <v>0</v>
      </c>
      <c r="AV105" s="23"/>
      <c r="AW105" s="23"/>
      <c r="AX105" s="23"/>
      <c r="AY105" s="20">
        <f t="shared" si="93"/>
        <v>0</v>
      </c>
      <c r="AZ105" s="23"/>
      <c r="BA105" s="23"/>
      <c r="BB105" s="23">
        <f t="shared" si="58"/>
        <v>0</v>
      </c>
      <c r="BC105" s="23">
        <f t="shared" si="59"/>
        <v>0</v>
      </c>
      <c r="BD105" s="23">
        <f t="shared" si="60"/>
        <v>0</v>
      </c>
      <c r="BE105" s="23"/>
      <c r="BF105" s="23"/>
      <c r="BG105" s="23"/>
      <c r="BH105" s="20">
        <f t="shared" si="94"/>
        <v>0</v>
      </c>
      <c r="BI105" s="23"/>
      <c r="BJ105" s="23"/>
      <c r="BK105" s="23">
        <f t="shared" si="61"/>
        <v>0</v>
      </c>
      <c r="BL105" s="23">
        <f t="shared" si="62"/>
        <v>0</v>
      </c>
      <c r="BM105" s="23">
        <f t="shared" si="63"/>
        <v>0</v>
      </c>
      <c r="BN105" s="23"/>
      <c r="BO105" s="23"/>
      <c r="BP105" s="23"/>
      <c r="BQ105" s="20">
        <f t="shared" si="95"/>
        <v>0</v>
      </c>
      <c r="BR105" s="23"/>
      <c r="BS105" s="23"/>
      <c r="BT105" s="23">
        <f t="shared" si="64"/>
        <v>0</v>
      </c>
      <c r="BU105" s="23">
        <f t="shared" si="65"/>
        <v>0</v>
      </c>
      <c r="BV105" s="23">
        <f t="shared" si="66"/>
        <v>0</v>
      </c>
      <c r="BW105" s="23"/>
      <c r="BX105" s="23"/>
      <c r="BY105" s="23"/>
      <c r="BZ105" s="20">
        <f t="shared" si="96"/>
        <v>0</v>
      </c>
      <c r="CA105" s="23"/>
      <c r="CB105" s="23"/>
      <c r="CC105" s="23">
        <f t="shared" si="67"/>
        <v>0</v>
      </c>
      <c r="CD105" s="23">
        <f t="shared" si="68"/>
        <v>0</v>
      </c>
      <c r="CE105" s="23">
        <f t="shared" si="69"/>
        <v>0</v>
      </c>
      <c r="CF105" s="23"/>
      <c r="CG105" s="23"/>
      <c r="CH105" s="23"/>
      <c r="CI105" s="20">
        <f t="shared" si="97"/>
        <v>0</v>
      </c>
      <c r="CJ105" s="23"/>
      <c r="CK105" s="23"/>
      <c r="CL105" s="23">
        <f t="shared" si="70"/>
        <v>0</v>
      </c>
      <c r="CM105" s="23">
        <f t="shared" si="71"/>
        <v>0</v>
      </c>
      <c r="CN105" s="23">
        <f t="shared" si="72"/>
        <v>0</v>
      </c>
      <c r="CO105" s="23"/>
      <c r="CP105" s="23"/>
      <c r="CQ105" s="23"/>
      <c r="CR105" s="20">
        <f t="shared" si="98"/>
        <v>0</v>
      </c>
      <c r="CS105" s="23"/>
      <c r="CT105" s="23"/>
      <c r="CU105" s="23">
        <f t="shared" si="73"/>
        <v>0</v>
      </c>
      <c r="CV105" s="23">
        <f t="shared" si="74"/>
        <v>0</v>
      </c>
      <c r="CW105" s="23">
        <f t="shared" si="75"/>
        <v>0</v>
      </c>
      <c r="CX105" s="23"/>
      <c r="CY105" s="23"/>
      <c r="CZ105" s="23"/>
      <c r="DA105" s="20">
        <f t="shared" si="99"/>
        <v>0</v>
      </c>
      <c r="DB105" s="23"/>
      <c r="DC105" s="23"/>
      <c r="DD105" s="23">
        <f t="shared" si="76"/>
        <v>0</v>
      </c>
      <c r="DE105" s="23">
        <f t="shared" si="77"/>
        <v>0</v>
      </c>
      <c r="DF105" s="23">
        <f t="shared" si="78"/>
        <v>0</v>
      </c>
      <c r="DG105" s="23"/>
      <c r="DH105" s="23"/>
      <c r="DI105" s="23"/>
      <c r="DJ105" s="20">
        <f t="shared" si="100"/>
        <v>0</v>
      </c>
      <c r="DK105" s="23"/>
      <c r="DL105" s="23"/>
      <c r="DM105" s="23">
        <f t="shared" si="79"/>
        <v>0</v>
      </c>
      <c r="DN105" s="23">
        <f t="shared" si="80"/>
        <v>0</v>
      </c>
      <c r="DO105" s="23">
        <f t="shared" si="81"/>
        <v>0</v>
      </c>
      <c r="DP105" s="23"/>
      <c r="DQ105" s="23"/>
      <c r="DR105" s="23"/>
      <c r="DS105" s="20">
        <f t="shared" si="101"/>
        <v>0</v>
      </c>
      <c r="DT105" s="23"/>
      <c r="DU105" s="23"/>
      <c r="DV105" s="23">
        <f t="shared" si="82"/>
        <v>0</v>
      </c>
      <c r="DW105" s="23">
        <f t="shared" si="83"/>
        <v>0</v>
      </c>
      <c r="DX105" s="23">
        <f t="shared" si="84"/>
        <v>0</v>
      </c>
      <c r="DY105" s="23"/>
      <c r="DZ105" s="23"/>
      <c r="EA105" s="23"/>
      <c r="EB105" s="20">
        <f t="shared" si="102"/>
        <v>0</v>
      </c>
      <c r="EC105" s="23"/>
      <c r="ED105" s="23"/>
      <c r="EE105" s="23">
        <f t="shared" si="87"/>
        <v>0</v>
      </c>
      <c r="EF105" s="23">
        <f t="shared" si="85"/>
        <v>0</v>
      </c>
      <c r="EG105" s="23">
        <f t="shared" si="86"/>
        <v>0</v>
      </c>
      <c r="EH105" s="23"/>
      <c r="EI105" s="23"/>
      <c r="EJ105" s="23"/>
      <c r="EK105" s="23"/>
      <c r="EL105" s="23"/>
      <c r="EM105" s="23"/>
      <c r="EN105" s="23"/>
      <c r="EO105" s="23"/>
      <c r="EP105" s="23"/>
      <c r="EQ105" s="23"/>
      <c r="ER105" s="23"/>
      <c r="ES105" s="23"/>
      <c r="ET105" s="23"/>
      <c r="EU105" s="23"/>
      <c r="EV105" s="23"/>
    </row>
    <row r="106" spans="1:152" ht="37.5" hidden="1" customHeight="1" x14ac:dyDescent="0.2">
      <c r="A106" s="19"/>
      <c r="B106" s="20"/>
      <c r="C106" s="21"/>
      <c r="D106" s="21"/>
      <c r="E106" s="23"/>
      <c r="F106" s="20">
        <f t="shared" si="88"/>
        <v>0</v>
      </c>
      <c r="G106" s="23"/>
      <c r="H106" s="23"/>
      <c r="I106" s="23">
        <f t="shared" si="43"/>
        <v>0</v>
      </c>
      <c r="J106" s="23">
        <f t="shared" si="44"/>
        <v>0</v>
      </c>
      <c r="K106" s="23">
        <f t="shared" si="45"/>
        <v>0</v>
      </c>
      <c r="L106" s="23"/>
      <c r="M106" s="23"/>
      <c r="N106" s="23"/>
      <c r="O106" s="20">
        <f t="shared" si="89"/>
        <v>0</v>
      </c>
      <c r="P106" s="23"/>
      <c r="Q106" s="23"/>
      <c r="R106" s="23">
        <f t="shared" si="46"/>
        <v>0</v>
      </c>
      <c r="S106" s="23">
        <f t="shared" si="47"/>
        <v>0</v>
      </c>
      <c r="T106" s="23">
        <f t="shared" si="48"/>
        <v>0</v>
      </c>
      <c r="U106" s="23"/>
      <c r="V106" s="23"/>
      <c r="W106" s="23"/>
      <c r="X106" s="20">
        <f t="shared" si="90"/>
        <v>0</v>
      </c>
      <c r="Y106" s="23"/>
      <c r="Z106" s="23"/>
      <c r="AA106" s="23">
        <f t="shared" si="49"/>
        <v>0</v>
      </c>
      <c r="AB106" s="23">
        <f t="shared" si="50"/>
        <v>0</v>
      </c>
      <c r="AC106" s="23">
        <f t="shared" si="51"/>
        <v>0</v>
      </c>
      <c r="AD106" s="23"/>
      <c r="AE106" s="23"/>
      <c r="AF106" s="23"/>
      <c r="AG106" s="20">
        <f t="shared" si="91"/>
        <v>0</v>
      </c>
      <c r="AH106" s="23"/>
      <c r="AI106" s="23"/>
      <c r="AJ106" s="23">
        <f t="shared" si="52"/>
        <v>0</v>
      </c>
      <c r="AK106" s="23">
        <f t="shared" si="53"/>
        <v>0</v>
      </c>
      <c r="AL106" s="23">
        <f t="shared" si="54"/>
        <v>0</v>
      </c>
      <c r="AM106" s="23"/>
      <c r="AN106" s="23"/>
      <c r="AO106" s="23"/>
      <c r="AP106" s="20">
        <f t="shared" si="92"/>
        <v>0</v>
      </c>
      <c r="AQ106" s="23"/>
      <c r="AR106" s="23"/>
      <c r="AS106" s="23">
        <f t="shared" si="55"/>
        <v>0</v>
      </c>
      <c r="AT106" s="23">
        <f t="shared" si="56"/>
        <v>0</v>
      </c>
      <c r="AU106" s="23">
        <f t="shared" si="57"/>
        <v>0</v>
      </c>
      <c r="AV106" s="23"/>
      <c r="AW106" s="23"/>
      <c r="AX106" s="23"/>
      <c r="AY106" s="20">
        <f t="shared" si="93"/>
        <v>0</v>
      </c>
      <c r="AZ106" s="23"/>
      <c r="BA106" s="23"/>
      <c r="BB106" s="23">
        <f t="shared" si="58"/>
        <v>0</v>
      </c>
      <c r="BC106" s="23">
        <f t="shared" si="59"/>
        <v>0</v>
      </c>
      <c r="BD106" s="23">
        <f t="shared" si="60"/>
        <v>0</v>
      </c>
      <c r="BE106" s="23"/>
      <c r="BF106" s="23"/>
      <c r="BG106" s="23"/>
      <c r="BH106" s="20">
        <f t="shared" si="94"/>
        <v>0</v>
      </c>
      <c r="BI106" s="23"/>
      <c r="BJ106" s="23"/>
      <c r="BK106" s="23">
        <f t="shared" si="61"/>
        <v>0</v>
      </c>
      <c r="BL106" s="23">
        <f t="shared" si="62"/>
        <v>0</v>
      </c>
      <c r="BM106" s="23">
        <f t="shared" si="63"/>
        <v>0</v>
      </c>
      <c r="BN106" s="23"/>
      <c r="BO106" s="23"/>
      <c r="BP106" s="23"/>
      <c r="BQ106" s="20">
        <f t="shared" si="95"/>
        <v>0</v>
      </c>
      <c r="BR106" s="23"/>
      <c r="BS106" s="23"/>
      <c r="BT106" s="23">
        <f t="shared" si="64"/>
        <v>0</v>
      </c>
      <c r="BU106" s="23">
        <f t="shared" si="65"/>
        <v>0</v>
      </c>
      <c r="BV106" s="23">
        <f t="shared" si="66"/>
        <v>0</v>
      </c>
      <c r="BW106" s="23"/>
      <c r="BX106" s="23"/>
      <c r="BY106" s="23"/>
      <c r="BZ106" s="20">
        <f t="shared" si="96"/>
        <v>0</v>
      </c>
      <c r="CA106" s="23"/>
      <c r="CB106" s="23"/>
      <c r="CC106" s="23">
        <f t="shared" si="67"/>
        <v>0</v>
      </c>
      <c r="CD106" s="23">
        <f t="shared" si="68"/>
        <v>0</v>
      </c>
      <c r="CE106" s="23">
        <f t="shared" si="69"/>
        <v>0</v>
      </c>
      <c r="CF106" s="23"/>
      <c r="CG106" s="23"/>
      <c r="CH106" s="23"/>
      <c r="CI106" s="20">
        <f t="shared" si="97"/>
        <v>0</v>
      </c>
      <c r="CJ106" s="23"/>
      <c r="CK106" s="23"/>
      <c r="CL106" s="23">
        <f t="shared" si="70"/>
        <v>0</v>
      </c>
      <c r="CM106" s="23">
        <f t="shared" si="71"/>
        <v>0</v>
      </c>
      <c r="CN106" s="23">
        <f t="shared" si="72"/>
        <v>0</v>
      </c>
      <c r="CO106" s="23"/>
      <c r="CP106" s="23"/>
      <c r="CQ106" s="23"/>
      <c r="CR106" s="20">
        <f t="shared" si="98"/>
        <v>0</v>
      </c>
      <c r="CS106" s="23"/>
      <c r="CT106" s="23"/>
      <c r="CU106" s="23">
        <f t="shared" si="73"/>
        <v>0</v>
      </c>
      <c r="CV106" s="23">
        <f t="shared" si="74"/>
        <v>0</v>
      </c>
      <c r="CW106" s="23">
        <f t="shared" si="75"/>
        <v>0</v>
      </c>
      <c r="CX106" s="23"/>
      <c r="CY106" s="23"/>
      <c r="CZ106" s="23"/>
      <c r="DA106" s="20">
        <f t="shared" si="99"/>
        <v>0</v>
      </c>
      <c r="DB106" s="23"/>
      <c r="DC106" s="23"/>
      <c r="DD106" s="23">
        <f t="shared" si="76"/>
        <v>0</v>
      </c>
      <c r="DE106" s="23">
        <f t="shared" si="77"/>
        <v>0</v>
      </c>
      <c r="DF106" s="23">
        <f t="shared" si="78"/>
        <v>0</v>
      </c>
      <c r="DG106" s="23"/>
      <c r="DH106" s="23"/>
      <c r="DI106" s="23"/>
      <c r="DJ106" s="20">
        <f t="shared" si="100"/>
        <v>0</v>
      </c>
      <c r="DK106" s="23"/>
      <c r="DL106" s="23"/>
      <c r="DM106" s="23">
        <f t="shared" si="79"/>
        <v>0</v>
      </c>
      <c r="DN106" s="23">
        <f t="shared" si="80"/>
        <v>0</v>
      </c>
      <c r="DO106" s="23">
        <f t="shared" si="81"/>
        <v>0</v>
      </c>
      <c r="DP106" s="23"/>
      <c r="DQ106" s="23"/>
      <c r="DR106" s="23"/>
      <c r="DS106" s="20">
        <f t="shared" si="101"/>
        <v>0</v>
      </c>
      <c r="DT106" s="23"/>
      <c r="DU106" s="23"/>
      <c r="DV106" s="23">
        <f t="shared" si="82"/>
        <v>0</v>
      </c>
      <c r="DW106" s="23">
        <f t="shared" si="83"/>
        <v>0</v>
      </c>
      <c r="DX106" s="23">
        <f t="shared" si="84"/>
        <v>0</v>
      </c>
      <c r="DY106" s="23"/>
      <c r="DZ106" s="23"/>
      <c r="EA106" s="23"/>
      <c r="EB106" s="20">
        <f t="shared" si="102"/>
        <v>0</v>
      </c>
      <c r="EC106" s="23"/>
      <c r="ED106" s="23"/>
      <c r="EE106" s="23">
        <f t="shared" si="87"/>
        <v>0</v>
      </c>
      <c r="EF106" s="23">
        <f t="shared" si="85"/>
        <v>0</v>
      </c>
      <c r="EG106" s="23">
        <f t="shared" si="86"/>
        <v>0</v>
      </c>
      <c r="EH106" s="23"/>
      <c r="EI106" s="23"/>
      <c r="EJ106" s="23"/>
      <c r="EK106" s="23"/>
      <c r="EL106" s="23"/>
      <c r="EM106" s="23"/>
      <c r="EN106" s="23"/>
      <c r="EO106" s="23"/>
      <c r="EP106" s="23"/>
      <c r="EQ106" s="23"/>
      <c r="ER106" s="23"/>
      <c r="ES106" s="23"/>
      <c r="ET106" s="23"/>
      <c r="EU106" s="23"/>
      <c r="EV106" s="23"/>
    </row>
    <row r="107" spans="1:152" ht="36.75" hidden="1" customHeight="1" x14ac:dyDescent="0.2">
      <c r="A107" s="19"/>
      <c r="B107" s="20"/>
      <c r="C107" s="21"/>
      <c r="D107" s="21"/>
      <c r="E107" s="23"/>
      <c r="F107" s="20">
        <f t="shared" si="88"/>
        <v>0</v>
      </c>
      <c r="G107" s="23"/>
      <c r="H107" s="23"/>
      <c r="I107" s="23">
        <f t="shared" si="43"/>
        <v>0</v>
      </c>
      <c r="J107" s="23">
        <f t="shared" si="44"/>
        <v>0</v>
      </c>
      <c r="K107" s="23">
        <f t="shared" si="45"/>
        <v>0</v>
      </c>
      <c r="L107" s="23"/>
      <c r="M107" s="23"/>
      <c r="N107" s="23"/>
      <c r="O107" s="20">
        <f t="shared" si="89"/>
        <v>0</v>
      </c>
      <c r="P107" s="23"/>
      <c r="Q107" s="23"/>
      <c r="R107" s="23">
        <f t="shared" si="46"/>
        <v>0</v>
      </c>
      <c r="S107" s="23">
        <f t="shared" si="47"/>
        <v>0</v>
      </c>
      <c r="T107" s="23">
        <f t="shared" si="48"/>
        <v>0</v>
      </c>
      <c r="U107" s="23"/>
      <c r="V107" s="23"/>
      <c r="W107" s="23"/>
      <c r="X107" s="20">
        <f t="shared" si="90"/>
        <v>0</v>
      </c>
      <c r="Y107" s="23"/>
      <c r="Z107" s="23"/>
      <c r="AA107" s="23">
        <f t="shared" si="49"/>
        <v>0</v>
      </c>
      <c r="AB107" s="23">
        <f t="shared" si="50"/>
        <v>0</v>
      </c>
      <c r="AC107" s="23">
        <f t="shared" si="51"/>
        <v>0</v>
      </c>
      <c r="AD107" s="23"/>
      <c r="AE107" s="23"/>
      <c r="AF107" s="23"/>
      <c r="AG107" s="20">
        <f t="shared" si="91"/>
        <v>0</v>
      </c>
      <c r="AH107" s="23"/>
      <c r="AI107" s="23"/>
      <c r="AJ107" s="23">
        <f t="shared" si="52"/>
        <v>0</v>
      </c>
      <c r="AK107" s="23">
        <f t="shared" si="53"/>
        <v>0</v>
      </c>
      <c r="AL107" s="23">
        <f t="shared" si="54"/>
        <v>0</v>
      </c>
      <c r="AM107" s="23"/>
      <c r="AN107" s="23"/>
      <c r="AO107" s="23"/>
      <c r="AP107" s="20">
        <f t="shared" si="92"/>
        <v>0</v>
      </c>
      <c r="AQ107" s="23"/>
      <c r="AR107" s="23"/>
      <c r="AS107" s="23">
        <f t="shared" si="55"/>
        <v>0</v>
      </c>
      <c r="AT107" s="23">
        <f t="shared" si="56"/>
        <v>0</v>
      </c>
      <c r="AU107" s="23">
        <f t="shared" si="57"/>
        <v>0</v>
      </c>
      <c r="AV107" s="23"/>
      <c r="AW107" s="23"/>
      <c r="AX107" s="23"/>
      <c r="AY107" s="20">
        <f t="shared" si="93"/>
        <v>0</v>
      </c>
      <c r="AZ107" s="23"/>
      <c r="BA107" s="23"/>
      <c r="BB107" s="23">
        <f t="shared" si="58"/>
        <v>0</v>
      </c>
      <c r="BC107" s="23">
        <f t="shared" si="59"/>
        <v>0</v>
      </c>
      <c r="BD107" s="23">
        <f t="shared" si="60"/>
        <v>0</v>
      </c>
      <c r="BE107" s="23"/>
      <c r="BF107" s="23"/>
      <c r="BG107" s="23"/>
      <c r="BH107" s="20">
        <f t="shared" si="94"/>
        <v>0</v>
      </c>
      <c r="BI107" s="23"/>
      <c r="BJ107" s="23"/>
      <c r="BK107" s="23">
        <f t="shared" si="61"/>
        <v>0</v>
      </c>
      <c r="BL107" s="23">
        <f t="shared" si="62"/>
        <v>0</v>
      </c>
      <c r="BM107" s="23">
        <f t="shared" si="63"/>
        <v>0</v>
      </c>
      <c r="BN107" s="23"/>
      <c r="BO107" s="23"/>
      <c r="BP107" s="23"/>
      <c r="BQ107" s="20">
        <f t="shared" si="95"/>
        <v>0</v>
      </c>
      <c r="BR107" s="23"/>
      <c r="BS107" s="23"/>
      <c r="BT107" s="23">
        <f t="shared" si="64"/>
        <v>0</v>
      </c>
      <c r="BU107" s="23">
        <f t="shared" si="65"/>
        <v>0</v>
      </c>
      <c r="BV107" s="23">
        <f t="shared" si="66"/>
        <v>0</v>
      </c>
      <c r="BW107" s="23"/>
      <c r="BX107" s="23"/>
      <c r="BY107" s="23"/>
      <c r="BZ107" s="20">
        <f t="shared" si="96"/>
        <v>0</v>
      </c>
      <c r="CA107" s="23"/>
      <c r="CB107" s="23"/>
      <c r="CC107" s="23">
        <f t="shared" si="67"/>
        <v>0</v>
      </c>
      <c r="CD107" s="23">
        <f t="shared" si="68"/>
        <v>0</v>
      </c>
      <c r="CE107" s="23">
        <f t="shared" si="69"/>
        <v>0</v>
      </c>
      <c r="CF107" s="23"/>
      <c r="CG107" s="23"/>
      <c r="CH107" s="23"/>
      <c r="CI107" s="20">
        <f t="shared" si="97"/>
        <v>0</v>
      </c>
      <c r="CJ107" s="23"/>
      <c r="CK107" s="23"/>
      <c r="CL107" s="23">
        <f t="shared" si="70"/>
        <v>0</v>
      </c>
      <c r="CM107" s="23">
        <f t="shared" si="71"/>
        <v>0</v>
      </c>
      <c r="CN107" s="23">
        <f t="shared" si="72"/>
        <v>0</v>
      </c>
      <c r="CO107" s="23"/>
      <c r="CP107" s="23"/>
      <c r="CQ107" s="23"/>
      <c r="CR107" s="20">
        <f t="shared" si="98"/>
        <v>0</v>
      </c>
      <c r="CS107" s="23"/>
      <c r="CT107" s="23"/>
      <c r="CU107" s="23">
        <f t="shared" si="73"/>
        <v>0</v>
      </c>
      <c r="CV107" s="23">
        <f t="shared" si="74"/>
        <v>0</v>
      </c>
      <c r="CW107" s="23">
        <f t="shared" si="75"/>
        <v>0</v>
      </c>
      <c r="CX107" s="23"/>
      <c r="CY107" s="23"/>
      <c r="CZ107" s="23"/>
      <c r="DA107" s="20">
        <f t="shared" si="99"/>
        <v>0</v>
      </c>
      <c r="DB107" s="23"/>
      <c r="DC107" s="23"/>
      <c r="DD107" s="23">
        <f t="shared" si="76"/>
        <v>0</v>
      </c>
      <c r="DE107" s="23">
        <f t="shared" si="77"/>
        <v>0</v>
      </c>
      <c r="DF107" s="23">
        <f t="shared" si="78"/>
        <v>0</v>
      </c>
      <c r="DG107" s="23"/>
      <c r="DH107" s="23"/>
      <c r="DI107" s="23"/>
      <c r="DJ107" s="20">
        <f t="shared" si="100"/>
        <v>0</v>
      </c>
      <c r="DK107" s="23"/>
      <c r="DL107" s="23"/>
      <c r="DM107" s="23">
        <f t="shared" si="79"/>
        <v>0</v>
      </c>
      <c r="DN107" s="23">
        <f t="shared" si="80"/>
        <v>0</v>
      </c>
      <c r="DO107" s="23">
        <f t="shared" si="81"/>
        <v>0</v>
      </c>
      <c r="DP107" s="23"/>
      <c r="DQ107" s="23"/>
      <c r="DR107" s="23"/>
      <c r="DS107" s="20">
        <f t="shared" si="101"/>
        <v>0</v>
      </c>
      <c r="DT107" s="23"/>
      <c r="DU107" s="23"/>
      <c r="DV107" s="23">
        <f t="shared" si="82"/>
        <v>0</v>
      </c>
      <c r="DW107" s="23">
        <f t="shared" si="83"/>
        <v>0</v>
      </c>
      <c r="DX107" s="23">
        <f t="shared" si="84"/>
        <v>0</v>
      </c>
      <c r="DY107" s="23"/>
      <c r="DZ107" s="23"/>
      <c r="EA107" s="23"/>
      <c r="EB107" s="20">
        <f t="shared" si="102"/>
        <v>0</v>
      </c>
      <c r="EC107" s="23"/>
      <c r="ED107" s="23"/>
      <c r="EE107" s="23">
        <f t="shared" si="87"/>
        <v>0</v>
      </c>
      <c r="EF107" s="23">
        <f t="shared" si="85"/>
        <v>0</v>
      </c>
      <c r="EG107" s="23">
        <f t="shared" si="86"/>
        <v>0</v>
      </c>
      <c r="EH107" s="23"/>
      <c r="EI107" s="23"/>
      <c r="EJ107" s="23"/>
      <c r="EK107" s="23"/>
      <c r="EL107" s="23"/>
      <c r="EM107" s="23"/>
      <c r="EN107" s="23"/>
      <c r="EO107" s="23"/>
      <c r="EP107" s="23"/>
      <c r="EQ107" s="23"/>
      <c r="ER107" s="23"/>
      <c r="ES107" s="23"/>
      <c r="ET107" s="23"/>
      <c r="EU107" s="23"/>
      <c r="EV107" s="23"/>
    </row>
    <row r="108" spans="1:152" ht="39" hidden="1" customHeight="1" x14ac:dyDescent="0.2">
      <c r="A108" s="19"/>
      <c r="B108" s="20"/>
      <c r="C108" s="21"/>
      <c r="D108" s="21"/>
      <c r="E108" s="22"/>
      <c r="F108" s="20">
        <f t="shared" si="88"/>
        <v>0</v>
      </c>
      <c r="G108" s="22"/>
      <c r="H108" s="22"/>
      <c r="I108" s="23">
        <f t="shared" si="43"/>
        <v>0</v>
      </c>
      <c r="J108" s="23">
        <f t="shared" si="44"/>
        <v>0</v>
      </c>
      <c r="K108" s="23">
        <f t="shared" si="45"/>
        <v>0</v>
      </c>
      <c r="L108" s="22"/>
      <c r="M108" s="22"/>
      <c r="N108" s="22"/>
      <c r="O108" s="20">
        <f t="shared" si="89"/>
        <v>0</v>
      </c>
      <c r="P108" s="22"/>
      <c r="Q108" s="22"/>
      <c r="R108" s="23">
        <f t="shared" si="46"/>
        <v>0</v>
      </c>
      <c r="S108" s="23">
        <f t="shared" si="47"/>
        <v>0</v>
      </c>
      <c r="T108" s="23">
        <f t="shared" si="48"/>
        <v>0</v>
      </c>
      <c r="U108" s="22"/>
      <c r="V108" s="22"/>
      <c r="W108" s="22"/>
      <c r="X108" s="20">
        <f t="shared" si="90"/>
        <v>0</v>
      </c>
      <c r="Y108" s="22"/>
      <c r="Z108" s="22"/>
      <c r="AA108" s="23">
        <f t="shared" si="49"/>
        <v>0</v>
      </c>
      <c r="AB108" s="23">
        <f t="shared" si="50"/>
        <v>0</v>
      </c>
      <c r="AC108" s="23">
        <f t="shared" si="51"/>
        <v>0</v>
      </c>
      <c r="AD108" s="22"/>
      <c r="AE108" s="22"/>
      <c r="AF108" s="22"/>
      <c r="AG108" s="20">
        <f t="shared" si="91"/>
        <v>0</v>
      </c>
      <c r="AH108" s="22"/>
      <c r="AI108" s="22"/>
      <c r="AJ108" s="23">
        <f t="shared" si="52"/>
        <v>0</v>
      </c>
      <c r="AK108" s="23">
        <f t="shared" si="53"/>
        <v>0</v>
      </c>
      <c r="AL108" s="23">
        <f t="shared" si="54"/>
        <v>0</v>
      </c>
      <c r="AM108" s="22"/>
      <c r="AN108" s="22"/>
      <c r="AO108" s="22"/>
      <c r="AP108" s="20">
        <f t="shared" si="92"/>
        <v>0</v>
      </c>
      <c r="AQ108" s="22"/>
      <c r="AR108" s="22"/>
      <c r="AS108" s="23">
        <f t="shared" si="55"/>
        <v>0</v>
      </c>
      <c r="AT108" s="23">
        <f t="shared" si="56"/>
        <v>0</v>
      </c>
      <c r="AU108" s="23">
        <f t="shared" si="57"/>
        <v>0</v>
      </c>
      <c r="AV108" s="22"/>
      <c r="AW108" s="22"/>
      <c r="AX108" s="22"/>
      <c r="AY108" s="20">
        <f t="shared" si="93"/>
        <v>0</v>
      </c>
      <c r="AZ108" s="22"/>
      <c r="BA108" s="22"/>
      <c r="BB108" s="23">
        <f t="shared" si="58"/>
        <v>0</v>
      </c>
      <c r="BC108" s="23">
        <f t="shared" si="59"/>
        <v>0</v>
      </c>
      <c r="BD108" s="23">
        <f t="shared" si="60"/>
        <v>0</v>
      </c>
      <c r="BE108" s="22"/>
      <c r="BF108" s="22"/>
      <c r="BG108" s="22"/>
      <c r="BH108" s="20">
        <f t="shared" si="94"/>
        <v>0</v>
      </c>
      <c r="BI108" s="22"/>
      <c r="BJ108" s="22"/>
      <c r="BK108" s="23">
        <f t="shared" si="61"/>
        <v>0</v>
      </c>
      <c r="BL108" s="23">
        <f t="shared" si="62"/>
        <v>0</v>
      </c>
      <c r="BM108" s="23">
        <f t="shared" si="63"/>
        <v>0</v>
      </c>
      <c r="BN108" s="22"/>
      <c r="BO108" s="22"/>
      <c r="BP108" s="22"/>
      <c r="BQ108" s="20">
        <f t="shared" si="95"/>
        <v>0</v>
      </c>
      <c r="BR108" s="22"/>
      <c r="BS108" s="22"/>
      <c r="BT108" s="23">
        <f t="shared" si="64"/>
        <v>0</v>
      </c>
      <c r="BU108" s="23">
        <f t="shared" si="65"/>
        <v>0</v>
      </c>
      <c r="BV108" s="23">
        <f t="shared" si="66"/>
        <v>0</v>
      </c>
      <c r="BW108" s="22"/>
      <c r="BX108" s="22"/>
      <c r="BY108" s="22"/>
      <c r="BZ108" s="20">
        <f t="shared" si="96"/>
        <v>0</v>
      </c>
      <c r="CA108" s="22"/>
      <c r="CB108" s="22"/>
      <c r="CC108" s="23">
        <f t="shared" si="67"/>
        <v>0</v>
      </c>
      <c r="CD108" s="23">
        <f t="shared" si="68"/>
        <v>0</v>
      </c>
      <c r="CE108" s="23">
        <f t="shared" si="69"/>
        <v>0</v>
      </c>
      <c r="CF108" s="22"/>
      <c r="CG108" s="22"/>
      <c r="CH108" s="22"/>
      <c r="CI108" s="20">
        <f t="shared" si="97"/>
        <v>0</v>
      </c>
      <c r="CJ108" s="22"/>
      <c r="CK108" s="22"/>
      <c r="CL108" s="23">
        <f t="shared" si="70"/>
        <v>0</v>
      </c>
      <c r="CM108" s="23">
        <f t="shared" si="71"/>
        <v>0</v>
      </c>
      <c r="CN108" s="23">
        <f t="shared" si="72"/>
        <v>0</v>
      </c>
      <c r="CO108" s="22"/>
      <c r="CP108" s="22"/>
      <c r="CQ108" s="22"/>
      <c r="CR108" s="20">
        <f t="shared" si="98"/>
        <v>0</v>
      </c>
      <c r="CS108" s="22"/>
      <c r="CT108" s="22"/>
      <c r="CU108" s="23">
        <f t="shared" si="73"/>
        <v>0</v>
      </c>
      <c r="CV108" s="23">
        <f t="shared" si="74"/>
        <v>0</v>
      </c>
      <c r="CW108" s="23">
        <f t="shared" si="75"/>
        <v>0</v>
      </c>
      <c r="CX108" s="22"/>
      <c r="CY108" s="22"/>
      <c r="CZ108" s="22"/>
      <c r="DA108" s="20">
        <f t="shared" si="99"/>
        <v>0</v>
      </c>
      <c r="DB108" s="22"/>
      <c r="DC108" s="22"/>
      <c r="DD108" s="23">
        <f t="shared" si="76"/>
        <v>0</v>
      </c>
      <c r="DE108" s="23">
        <f t="shared" si="77"/>
        <v>0</v>
      </c>
      <c r="DF108" s="23">
        <f t="shared" si="78"/>
        <v>0</v>
      </c>
      <c r="DG108" s="22"/>
      <c r="DH108" s="22"/>
      <c r="DI108" s="22"/>
      <c r="DJ108" s="20">
        <f t="shared" si="100"/>
        <v>0</v>
      </c>
      <c r="DK108" s="22"/>
      <c r="DL108" s="22"/>
      <c r="DM108" s="23">
        <f t="shared" si="79"/>
        <v>0</v>
      </c>
      <c r="DN108" s="23">
        <f t="shared" si="80"/>
        <v>0</v>
      </c>
      <c r="DO108" s="23">
        <f t="shared" si="81"/>
        <v>0</v>
      </c>
      <c r="DP108" s="22"/>
      <c r="DQ108" s="22"/>
      <c r="DR108" s="22"/>
      <c r="DS108" s="20">
        <f t="shared" si="101"/>
        <v>0</v>
      </c>
      <c r="DT108" s="22"/>
      <c r="DU108" s="22"/>
      <c r="DV108" s="23">
        <f t="shared" si="82"/>
        <v>0</v>
      </c>
      <c r="DW108" s="23">
        <f t="shared" si="83"/>
        <v>0</v>
      </c>
      <c r="DX108" s="23">
        <f t="shared" si="84"/>
        <v>0</v>
      </c>
      <c r="DY108" s="22"/>
      <c r="DZ108" s="22"/>
      <c r="EA108" s="22"/>
      <c r="EB108" s="20">
        <f t="shared" si="102"/>
        <v>0</v>
      </c>
      <c r="EC108" s="22"/>
      <c r="ED108" s="22"/>
      <c r="EE108" s="23">
        <f t="shared" si="87"/>
        <v>0</v>
      </c>
      <c r="EF108" s="23">
        <f t="shared" si="85"/>
        <v>0</v>
      </c>
      <c r="EG108" s="23">
        <f t="shared" si="86"/>
        <v>0</v>
      </c>
      <c r="EH108" s="22"/>
      <c r="EI108" s="22"/>
      <c r="EJ108" s="22"/>
      <c r="EK108" s="22"/>
      <c r="EL108" s="22"/>
      <c r="EM108" s="22"/>
      <c r="EN108" s="22"/>
      <c r="EO108" s="22"/>
      <c r="EP108" s="22"/>
      <c r="EQ108" s="22"/>
      <c r="ER108" s="22"/>
      <c r="ES108" s="22"/>
      <c r="ET108" s="22"/>
      <c r="EU108" s="22"/>
      <c r="EV108" s="22"/>
    </row>
    <row r="109" spans="1:152" ht="38.25" hidden="1" customHeight="1" x14ac:dyDescent="0.2">
      <c r="A109" s="19"/>
      <c r="B109" s="20"/>
      <c r="C109" s="21"/>
      <c r="D109" s="21"/>
      <c r="E109" s="22"/>
      <c r="F109" s="20">
        <f t="shared" si="88"/>
        <v>0</v>
      </c>
      <c r="G109" s="22"/>
      <c r="H109" s="22"/>
      <c r="I109" s="23">
        <f t="shared" si="43"/>
        <v>0</v>
      </c>
      <c r="J109" s="23">
        <f t="shared" si="44"/>
        <v>0</v>
      </c>
      <c r="K109" s="23">
        <f t="shared" si="45"/>
        <v>0</v>
      </c>
      <c r="L109" s="22"/>
      <c r="M109" s="22"/>
      <c r="N109" s="22"/>
      <c r="O109" s="20">
        <f t="shared" si="89"/>
        <v>0</v>
      </c>
      <c r="P109" s="22"/>
      <c r="Q109" s="22"/>
      <c r="R109" s="23">
        <f t="shared" si="46"/>
        <v>0</v>
      </c>
      <c r="S109" s="23">
        <f t="shared" si="47"/>
        <v>0</v>
      </c>
      <c r="T109" s="23">
        <f t="shared" si="48"/>
        <v>0</v>
      </c>
      <c r="U109" s="22"/>
      <c r="V109" s="22"/>
      <c r="W109" s="22"/>
      <c r="X109" s="20">
        <f t="shared" si="90"/>
        <v>0</v>
      </c>
      <c r="Y109" s="22"/>
      <c r="Z109" s="22"/>
      <c r="AA109" s="23">
        <f t="shared" si="49"/>
        <v>0</v>
      </c>
      <c r="AB109" s="23">
        <f t="shared" si="50"/>
        <v>0</v>
      </c>
      <c r="AC109" s="23">
        <f t="shared" si="51"/>
        <v>0</v>
      </c>
      <c r="AD109" s="22"/>
      <c r="AE109" s="22"/>
      <c r="AF109" s="22"/>
      <c r="AG109" s="20">
        <f t="shared" si="91"/>
        <v>0</v>
      </c>
      <c r="AH109" s="22"/>
      <c r="AI109" s="22"/>
      <c r="AJ109" s="23">
        <f t="shared" si="52"/>
        <v>0</v>
      </c>
      <c r="AK109" s="23">
        <f t="shared" si="53"/>
        <v>0</v>
      </c>
      <c r="AL109" s="23">
        <f t="shared" si="54"/>
        <v>0</v>
      </c>
      <c r="AM109" s="22"/>
      <c r="AN109" s="22"/>
      <c r="AO109" s="22"/>
      <c r="AP109" s="20">
        <f t="shared" si="92"/>
        <v>0</v>
      </c>
      <c r="AQ109" s="22"/>
      <c r="AR109" s="22"/>
      <c r="AS109" s="23">
        <f t="shared" si="55"/>
        <v>0</v>
      </c>
      <c r="AT109" s="23">
        <f t="shared" si="56"/>
        <v>0</v>
      </c>
      <c r="AU109" s="23">
        <f t="shared" si="57"/>
        <v>0</v>
      </c>
      <c r="AV109" s="22"/>
      <c r="AW109" s="22"/>
      <c r="AX109" s="22"/>
      <c r="AY109" s="20">
        <f t="shared" si="93"/>
        <v>0</v>
      </c>
      <c r="AZ109" s="22"/>
      <c r="BA109" s="22"/>
      <c r="BB109" s="23">
        <f t="shared" si="58"/>
        <v>0</v>
      </c>
      <c r="BC109" s="23">
        <f t="shared" si="59"/>
        <v>0</v>
      </c>
      <c r="BD109" s="23">
        <f t="shared" si="60"/>
        <v>0</v>
      </c>
      <c r="BE109" s="22"/>
      <c r="BF109" s="22"/>
      <c r="BG109" s="22"/>
      <c r="BH109" s="20">
        <f t="shared" si="94"/>
        <v>0</v>
      </c>
      <c r="BI109" s="22"/>
      <c r="BJ109" s="22"/>
      <c r="BK109" s="23">
        <f t="shared" si="61"/>
        <v>0</v>
      </c>
      <c r="BL109" s="23">
        <f t="shared" si="62"/>
        <v>0</v>
      </c>
      <c r="BM109" s="23">
        <f t="shared" si="63"/>
        <v>0</v>
      </c>
      <c r="BN109" s="22"/>
      <c r="BO109" s="22"/>
      <c r="BP109" s="22"/>
      <c r="BQ109" s="20">
        <f t="shared" si="95"/>
        <v>0</v>
      </c>
      <c r="BR109" s="22"/>
      <c r="BS109" s="22"/>
      <c r="BT109" s="23">
        <f t="shared" si="64"/>
        <v>0</v>
      </c>
      <c r="BU109" s="23">
        <f t="shared" si="65"/>
        <v>0</v>
      </c>
      <c r="BV109" s="23">
        <f t="shared" si="66"/>
        <v>0</v>
      </c>
      <c r="BW109" s="22"/>
      <c r="BX109" s="22"/>
      <c r="BY109" s="22"/>
      <c r="BZ109" s="20">
        <f t="shared" si="96"/>
        <v>0</v>
      </c>
      <c r="CA109" s="22"/>
      <c r="CB109" s="22"/>
      <c r="CC109" s="23">
        <f t="shared" si="67"/>
        <v>0</v>
      </c>
      <c r="CD109" s="23">
        <f t="shared" si="68"/>
        <v>0</v>
      </c>
      <c r="CE109" s="23">
        <f t="shared" si="69"/>
        <v>0</v>
      </c>
      <c r="CF109" s="22"/>
      <c r="CG109" s="22"/>
      <c r="CH109" s="22"/>
      <c r="CI109" s="20">
        <f t="shared" si="97"/>
        <v>0</v>
      </c>
      <c r="CJ109" s="22"/>
      <c r="CK109" s="22"/>
      <c r="CL109" s="23">
        <f t="shared" si="70"/>
        <v>0</v>
      </c>
      <c r="CM109" s="23">
        <f t="shared" si="71"/>
        <v>0</v>
      </c>
      <c r="CN109" s="23">
        <f t="shared" si="72"/>
        <v>0</v>
      </c>
      <c r="CO109" s="22"/>
      <c r="CP109" s="22"/>
      <c r="CQ109" s="22"/>
      <c r="CR109" s="20">
        <f t="shared" si="98"/>
        <v>0</v>
      </c>
      <c r="CS109" s="22"/>
      <c r="CT109" s="22"/>
      <c r="CU109" s="23">
        <f t="shared" si="73"/>
        <v>0</v>
      </c>
      <c r="CV109" s="23">
        <f t="shared" si="74"/>
        <v>0</v>
      </c>
      <c r="CW109" s="23">
        <f t="shared" si="75"/>
        <v>0</v>
      </c>
      <c r="CX109" s="22"/>
      <c r="CY109" s="22"/>
      <c r="CZ109" s="22"/>
      <c r="DA109" s="20">
        <f t="shared" si="99"/>
        <v>0</v>
      </c>
      <c r="DB109" s="22"/>
      <c r="DC109" s="22"/>
      <c r="DD109" s="23">
        <f t="shared" si="76"/>
        <v>0</v>
      </c>
      <c r="DE109" s="23">
        <f t="shared" si="77"/>
        <v>0</v>
      </c>
      <c r="DF109" s="23">
        <f t="shared" si="78"/>
        <v>0</v>
      </c>
      <c r="DG109" s="22"/>
      <c r="DH109" s="22"/>
      <c r="DI109" s="22"/>
      <c r="DJ109" s="20">
        <f t="shared" si="100"/>
        <v>0</v>
      </c>
      <c r="DK109" s="22"/>
      <c r="DL109" s="22"/>
      <c r="DM109" s="23">
        <f t="shared" si="79"/>
        <v>0</v>
      </c>
      <c r="DN109" s="23">
        <f t="shared" si="80"/>
        <v>0</v>
      </c>
      <c r="DO109" s="23">
        <f t="shared" si="81"/>
        <v>0</v>
      </c>
      <c r="DP109" s="22"/>
      <c r="DQ109" s="22"/>
      <c r="DR109" s="22"/>
      <c r="DS109" s="20">
        <f t="shared" si="101"/>
        <v>0</v>
      </c>
      <c r="DT109" s="22"/>
      <c r="DU109" s="22"/>
      <c r="DV109" s="23">
        <f t="shared" si="82"/>
        <v>0</v>
      </c>
      <c r="DW109" s="23">
        <f t="shared" si="83"/>
        <v>0</v>
      </c>
      <c r="DX109" s="23">
        <f t="shared" si="84"/>
        <v>0</v>
      </c>
      <c r="DY109" s="22"/>
      <c r="DZ109" s="22"/>
      <c r="EA109" s="22"/>
      <c r="EB109" s="20">
        <f t="shared" si="102"/>
        <v>0</v>
      </c>
      <c r="EC109" s="22"/>
      <c r="ED109" s="22"/>
      <c r="EE109" s="23">
        <f t="shared" si="87"/>
        <v>0</v>
      </c>
      <c r="EF109" s="23">
        <f t="shared" si="85"/>
        <v>0</v>
      </c>
      <c r="EG109" s="23">
        <f t="shared" si="86"/>
        <v>0</v>
      </c>
      <c r="EH109" s="22"/>
      <c r="EI109" s="22"/>
      <c r="EJ109" s="22"/>
      <c r="EK109" s="22"/>
      <c r="EL109" s="22"/>
      <c r="EM109" s="22"/>
      <c r="EN109" s="22"/>
      <c r="EO109" s="22"/>
      <c r="EP109" s="22"/>
      <c r="EQ109" s="22"/>
      <c r="ER109" s="22"/>
      <c r="ES109" s="22"/>
      <c r="ET109" s="22"/>
      <c r="EU109" s="22"/>
      <c r="EV109" s="22"/>
    </row>
    <row r="110" spans="1:152" ht="38.25" hidden="1" customHeight="1" x14ac:dyDescent="0.2">
      <c r="A110" s="19"/>
      <c r="B110" s="20"/>
      <c r="C110" s="21"/>
      <c r="D110" s="21"/>
      <c r="E110" s="22"/>
      <c r="F110" s="20">
        <f t="shared" si="88"/>
        <v>0</v>
      </c>
      <c r="G110" s="22"/>
      <c r="H110" s="22"/>
      <c r="I110" s="23">
        <f t="shared" si="43"/>
        <v>0</v>
      </c>
      <c r="J110" s="23">
        <f t="shared" si="44"/>
        <v>0</v>
      </c>
      <c r="K110" s="23">
        <f t="shared" si="45"/>
        <v>0</v>
      </c>
      <c r="L110" s="22"/>
      <c r="M110" s="22"/>
      <c r="N110" s="22"/>
      <c r="O110" s="20">
        <f t="shared" si="89"/>
        <v>0</v>
      </c>
      <c r="P110" s="22"/>
      <c r="Q110" s="22"/>
      <c r="R110" s="23">
        <f t="shared" si="46"/>
        <v>0</v>
      </c>
      <c r="S110" s="23">
        <f t="shared" si="47"/>
        <v>0</v>
      </c>
      <c r="T110" s="23">
        <f t="shared" si="48"/>
        <v>0</v>
      </c>
      <c r="U110" s="22"/>
      <c r="V110" s="22"/>
      <c r="W110" s="22"/>
      <c r="X110" s="20">
        <f t="shared" si="90"/>
        <v>0</v>
      </c>
      <c r="Y110" s="22"/>
      <c r="Z110" s="22"/>
      <c r="AA110" s="23">
        <f t="shared" si="49"/>
        <v>0</v>
      </c>
      <c r="AB110" s="23">
        <f t="shared" si="50"/>
        <v>0</v>
      </c>
      <c r="AC110" s="23">
        <f t="shared" si="51"/>
        <v>0</v>
      </c>
      <c r="AD110" s="22"/>
      <c r="AE110" s="22"/>
      <c r="AF110" s="22"/>
      <c r="AG110" s="20">
        <f t="shared" si="91"/>
        <v>0</v>
      </c>
      <c r="AH110" s="22"/>
      <c r="AI110" s="22"/>
      <c r="AJ110" s="23">
        <f t="shared" si="52"/>
        <v>0</v>
      </c>
      <c r="AK110" s="23">
        <f t="shared" si="53"/>
        <v>0</v>
      </c>
      <c r="AL110" s="23">
        <f t="shared" si="54"/>
        <v>0</v>
      </c>
      <c r="AM110" s="22"/>
      <c r="AN110" s="22"/>
      <c r="AO110" s="22"/>
      <c r="AP110" s="20">
        <f t="shared" si="92"/>
        <v>0</v>
      </c>
      <c r="AQ110" s="22"/>
      <c r="AR110" s="22"/>
      <c r="AS110" s="23">
        <f t="shared" si="55"/>
        <v>0</v>
      </c>
      <c r="AT110" s="23">
        <f t="shared" si="56"/>
        <v>0</v>
      </c>
      <c r="AU110" s="23">
        <f t="shared" si="57"/>
        <v>0</v>
      </c>
      <c r="AV110" s="22"/>
      <c r="AW110" s="22"/>
      <c r="AX110" s="22"/>
      <c r="AY110" s="20">
        <f t="shared" si="93"/>
        <v>0</v>
      </c>
      <c r="AZ110" s="22"/>
      <c r="BA110" s="22"/>
      <c r="BB110" s="23">
        <f t="shared" si="58"/>
        <v>0</v>
      </c>
      <c r="BC110" s="23">
        <f t="shared" si="59"/>
        <v>0</v>
      </c>
      <c r="BD110" s="23">
        <f t="shared" si="60"/>
        <v>0</v>
      </c>
      <c r="BE110" s="22"/>
      <c r="BF110" s="22"/>
      <c r="BG110" s="22"/>
      <c r="BH110" s="20">
        <f t="shared" si="94"/>
        <v>0</v>
      </c>
      <c r="BI110" s="22"/>
      <c r="BJ110" s="22"/>
      <c r="BK110" s="23">
        <f t="shared" si="61"/>
        <v>0</v>
      </c>
      <c r="BL110" s="23">
        <f t="shared" si="62"/>
        <v>0</v>
      </c>
      <c r="BM110" s="23">
        <f t="shared" si="63"/>
        <v>0</v>
      </c>
      <c r="BN110" s="22"/>
      <c r="BO110" s="22"/>
      <c r="BP110" s="22"/>
      <c r="BQ110" s="20">
        <f t="shared" si="95"/>
        <v>0</v>
      </c>
      <c r="BR110" s="22"/>
      <c r="BS110" s="22"/>
      <c r="BT110" s="23">
        <f t="shared" si="64"/>
        <v>0</v>
      </c>
      <c r="BU110" s="23">
        <f t="shared" si="65"/>
        <v>0</v>
      </c>
      <c r="BV110" s="23">
        <f t="shared" si="66"/>
        <v>0</v>
      </c>
      <c r="BW110" s="22"/>
      <c r="BX110" s="22"/>
      <c r="BY110" s="22"/>
      <c r="BZ110" s="20">
        <f t="shared" si="96"/>
        <v>0</v>
      </c>
      <c r="CA110" s="22"/>
      <c r="CB110" s="22"/>
      <c r="CC110" s="23">
        <f t="shared" si="67"/>
        <v>0</v>
      </c>
      <c r="CD110" s="23">
        <f t="shared" si="68"/>
        <v>0</v>
      </c>
      <c r="CE110" s="23">
        <f t="shared" si="69"/>
        <v>0</v>
      </c>
      <c r="CF110" s="22"/>
      <c r="CG110" s="22"/>
      <c r="CH110" s="22"/>
      <c r="CI110" s="20">
        <f t="shared" si="97"/>
        <v>0</v>
      </c>
      <c r="CJ110" s="22"/>
      <c r="CK110" s="22"/>
      <c r="CL110" s="23">
        <f t="shared" si="70"/>
        <v>0</v>
      </c>
      <c r="CM110" s="23">
        <f t="shared" si="71"/>
        <v>0</v>
      </c>
      <c r="CN110" s="23">
        <f t="shared" si="72"/>
        <v>0</v>
      </c>
      <c r="CO110" s="22"/>
      <c r="CP110" s="22"/>
      <c r="CQ110" s="22"/>
      <c r="CR110" s="20">
        <f t="shared" si="98"/>
        <v>0</v>
      </c>
      <c r="CS110" s="22"/>
      <c r="CT110" s="22"/>
      <c r="CU110" s="23">
        <f t="shared" si="73"/>
        <v>0</v>
      </c>
      <c r="CV110" s="23">
        <f t="shared" si="74"/>
        <v>0</v>
      </c>
      <c r="CW110" s="23">
        <f t="shared" si="75"/>
        <v>0</v>
      </c>
      <c r="CX110" s="22"/>
      <c r="CY110" s="22"/>
      <c r="CZ110" s="22"/>
      <c r="DA110" s="20">
        <f t="shared" si="99"/>
        <v>0</v>
      </c>
      <c r="DB110" s="22"/>
      <c r="DC110" s="22"/>
      <c r="DD110" s="23">
        <f t="shared" si="76"/>
        <v>0</v>
      </c>
      <c r="DE110" s="23">
        <f t="shared" si="77"/>
        <v>0</v>
      </c>
      <c r="DF110" s="23">
        <f t="shared" si="78"/>
        <v>0</v>
      </c>
      <c r="DG110" s="22"/>
      <c r="DH110" s="22"/>
      <c r="DI110" s="22"/>
      <c r="DJ110" s="20">
        <f t="shared" si="100"/>
        <v>0</v>
      </c>
      <c r="DK110" s="22"/>
      <c r="DL110" s="22"/>
      <c r="DM110" s="23">
        <f t="shared" si="79"/>
        <v>0</v>
      </c>
      <c r="DN110" s="23">
        <f t="shared" si="80"/>
        <v>0</v>
      </c>
      <c r="DO110" s="23">
        <f t="shared" si="81"/>
        <v>0</v>
      </c>
      <c r="DP110" s="22"/>
      <c r="DQ110" s="22"/>
      <c r="DR110" s="22"/>
      <c r="DS110" s="20">
        <f t="shared" si="101"/>
        <v>0</v>
      </c>
      <c r="DT110" s="22"/>
      <c r="DU110" s="22"/>
      <c r="DV110" s="23">
        <f t="shared" si="82"/>
        <v>0</v>
      </c>
      <c r="DW110" s="23">
        <f t="shared" si="83"/>
        <v>0</v>
      </c>
      <c r="DX110" s="23">
        <f t="shared" si="84"/>
        <v>0</v>
      </c>
      <c r="DY110" s="22"/>
      <c r="DZ110" s="22"/>
      <c r="EA110" s="22"/>
      <c r="EB110" s="20">
        <f t="shared" si="102"/>
        <v>0</v>
      </c>
      <c r="EC110" s="22"/>
      <c r="ED110" s="22"/>
      <c r="EE110" s="23">
        <f t="shared" si="87"/>
        <v>0</v>
      </c>
      <c r="EF110" s="23">
        <f t="shared" si="85"/>
        <v>0</v>
      </c>
      <c r="EG110" s="23">
        <f t="shared" si="86"/>
        <v>0</v>
      </c>
      <c r="EH110" s="22"/>
      <c r="EI110" s="22"/>
      <c r="EJ110" s="22"/>
      <c r="EK110" s="22"/>
      <c r="EL110" s="22"/>
      <c r="EM110" s="22"/>
      <c r="EN110" s="22"/>
      <c r="EO110" s="22"/>
      <c r="EP110" s="22"/>
      <c r="EQ110" s="22"/>
      <c r="ER110" s="22"/>
      <c r="ES110" s="22"/>
      <c r="ET110" s="22"/>
      <c r="EU110" s="22"/>
      <c r="EV110" s="22"/>
    </row>
    <row r="111" spans="1:152" ht="32.25" hidden="1" customHeight="1" x14ac:dyDescent="0.2">
      <c r="A111" s="19"/>
      <c r="B111" s="20"/>
      <c r="C111" s="21"/>
      <c r="D111" s="21"/>
      <c r="E111" s="22"/>
      <c r="F111" s="20">
        <f>($B39+D39)*C39</f>
        <v>0</v>
      </c>
      <c r="G111" s="22"/>
      <c r="H111" s="22"/>
      <c r="I111" s="23">
        <f>I40*(($B40)+D40)*0.1*C40</f>
        <v>0</v>
      </c>
      <c r="J111" s="23">
        <f>J40*(($B40)+D40)*0.5*C40</f>
        <v>0</v>
      </c>
      <c r="K111" s="23">
        <f>K40*(($B40)+D40)*C40</f>
        <v>0</v>
      </c>
      <c r="L111" s="22"/>
      <c r="M111" s="22"/>
      <c r="N111" s="22"/>
      <c r="O111" s="20">
        <f t="shared" si="89"/>
        <v>0</v>
      </c>
      <c r="P111" s="22"/>
      <c r="Q111" s="22"/>
      <c r="R111" s="23">
        <f t="shared" si="46"/>
        <v>0</v>
      </c>
      <c r="S111" s="23">
        <f t="shared" si="47"/>
        <v>0</v>
      </c>
      <c r="T111" s="23">
        <f t="shared" si="48"/>
        <v>0</v>
      </c>
      <c r="U111" s="22"/>
      <c r="V111" s="22"/>
      <c r="W111" s="22"/>
      <c r="X111" s="20">
        <f t="shared" si="90"/>
        <v>0</v>
      </c>
      <c r="Y111" s="22"/>
      <c r="Z111" s="22"/>
      <c r="AA111" s="23">
        <f t="shared" si="49"/>
        <v>0</v>
      </c>
      <c r="AB111" s="23">
        <f t="shared" si="50"/>
        <v>0</v>
      </c>
      <c r="AC111" s="23">
        <f t="shared" si="51"/>
        <v>0</v>
      </c>
      <c r="AD111" s="22"/>
      <c r="AE111" s="22"/>
      <c r="AF111" s="22"/>
      <c r="AG111" s="20">
        <f t="shared" si="91"/>
        <v>0</v>
      </c>
      <c r="AH111" s="22"/>
      <c r="AI111" s="22"/>
      <c r="AJ111" s="23">
        <f t="shared" si="52"/>
        <v>0</v>
      </c>
      <c r="AK111" s="23">
        <f t="shared" si="53"/>
        <v>0</v>
      </c>
      <c r="AL111" s="23">
        <f t="shared" si="54"/>
        <v>0</v>
      </c>
      <c r="AM111" s="22"/>
      <c r="AN111" s="22"/>
      <c r="AO111" s="22"/>
      <c r="AP111" s="20">
        <f t="shared" si="92"/>
        <v>0</v>
      </c>
      <c r="AQ111" s="22"/>
      <c r="AR111" s="22"/>
      <c r="AS111" s="23">
        <f t="shared" si="55"/>
        <v>0</v>
      </c>
      <c r="AT111" s="23">
        <f t="shared" si="56"/>
        <v>0</v>
      </c>
      <c r="AU111" s="23">
        <f t="shared" si="57"/>
        <v>0</v>
      </c>
      <c r="AV111" s="22"/>
      <c r="AW111" s="22"/>
      <c r="AX111" s="22"/>
      <c r="AY111" s="20">
        <f t="shared" si="93"/>
        <v>0</v>
      </c>
      <c r="AZ111" s="22"/>
      <c r="BA111" s="22"/>
      <c r="BB111" s="23">
        <f t="shared" si="58"/>
        <v>0</v>
      </c>
      <c r="BC111" s="23">
        <f t="shared" si="59"/>
        <v>0</v>
      </c>
      <c r="BD111" s="23">
        <f t="shared" si="60"/>
        <v>0</v>
      </c>
      <c r="BE111" s="22"/>
      <c r="BF111" s="22"/>
      <c r="BG111" s="22"/>
      <c r="BH111" s="20">
        <f t="shared" si="94"/>
        <v>0</v>
      </c>
      <c r="BI111" s="22"/>
      <c r="BJ111" s="22"/>
      <c r="BK111" s="23">
        <f t="shared" si="61"/>
        <v>0</v>
      </c>
      <c r="BL111" s="23">
        <f t="shared" si="62"/>
        <v>0</v>
      </c>
      <c r="BM111" s="23">
        <f t="shared" si="63"/>
        <v>0</v>
      </c>
      <c r="BN111" s="22"/>
      <c r="BO111" s="22"/>
      <c r="BP111" s="22"/>
      <c r="BQ111" s="20">
        <f t="shared" si="95"/>
        <v>0</v>
      </c>
      <c r="BR111" s="22"/>
      <c r="BS111" s="22"/>
      <c r="BT111" s="23">
        <f t="shared" si="64"/>
        <v>0</v>
      </c>
      <c r="BU111" s="23">
        <f t="shared" si="65"/>
        <v>0</v>
      </c>
      <c r="BV111" s="23">
        <f t="shared" si="66"/>
        <v>0</v>
      </c>
      <c r="BW111" s="22"/>
      <c r="BX111" s="22"/>
      <c r="BY111" s="22"/>
      <c r="BZ111" s="20">
        <f t="shared" si="96"/>
        <v>0</v>
      </c>
      <c r="CA111" s="22"/>
      <c r="CB111" s="22"/>
      <c r="CC111" s="23">
        <f t="shared" si="67"/>
        <v>0</v>
      </c>
      <c r="CD111" s="23">
        <f t="shared" si="68"/>
        <v>0</v>
      </c>
      <c r="CE111" s="23">
        <f t="shared" si="69"/>
        <v>0</v>
      </c>
      <c r="CF111" s="22"/>
      <c r="CG111" s="22"/>
      <c r="CH111" s="22"/>
      <c r="CI111" s="20">
        <f t="shared" si="97"/>
        <v>0</v>
      </c>
      <c r="CJ111" s="22"/>
      <c r="CK111" s="22"/>
      <c r="CL111" s="23">
        <f t="shared" si="70"/>
        <v>0</v>
      </c>
      <c r="CM111" s="23">
        <f t="shared" si="71"/>
        <v>0</v>
      </c>
      <c r="CN111" s="23">
        <f t="shared" si="72"/>
        <v>0</v>
      </c>
      <c r="CO111" s="22"/>
      <c r="CP111" s="22"/>
      <c r="CQ111" s="22"/>
      <c r="CR111" s="20">
        <f t="shared" si="98"/>
        <v>0</v>
      </c>
      <c r="CS111" s="22"/>
      <c r="CT111" s="22"/>
      <c r="CU111" s="23">
        <f t="shared" si="73"/>
        <v>0</v>
      </c>
      <c r="CV111" s="23">
        <f t="shared" si="74"/>
        <v>0</v>
      </c>
      <c r="CW111" s="23">
        <f t="shared" si="75"/>
        <v>0</v>
      </c>
      <c r="CX111" s="22"/>
      <c r="CY111" s="22"/>
      <c r="CZ111" s="22"/>
      <c r="DA111" s="20">
        <f t="shared" si="99"/>
        <v>0</v>
      </c>
      <c r="DB111" s="22"/>
      <c r="DC111" s="22"/>
      <c r="DD111" s="23">
        <f t="shared" si="76"/>
        <v>0</v>
      </c>
      <c r="DE111" s="23">
        <f t="shared" si="77"/>
        <v>0</v>
      </c>
      <c r="DF111" s="23">
        <f t="shared" si="78"/>
        <v>0</v>
      </c>
      <c r="DG111" s="22"/>
      <c r="DH111" s="22"/>
      <c r="DI111" s="22"/>
      <c r="DJ111" s="20">
        <f t="shared" si="100"/>
        <v>0</v>
      </c>
      <c r="DK111" s="22"/>
      <c r="DL111" s="22"/>
      <c r="DM111" s="23">
        <f t="shared" si="79"/>
        <v>0</v>
      </c>
      <c r="DN111" s="23">
        <f t="shared" si="80"/>
        <v>0</v>
      </c>
      <c r="DO111" s="23">
        <f t="shared" si="81"/>
        <v>0</v>
      </c>
      <c r="DP111" s="22"/>
      <c r="DQ111" s="22"/>
      <c r="DR111" s="22"/>
      <c r="DS111" s="20">
        <f t="shared" si="101"/>
        <v>0</v>
      </c>
      <c r="DT111" s="22"/>
      <c r="DU111" s="22"/>
      <c r="DV111" s="23">
        <f t="shared" si="82"/>
        <v>0</v>
      </c>
      <c r="DW111" s="23">
        <f t="shared" si="83"/>
        <v>0</v>
      </c>
      <c r="DX111" s="23">
        <f t="shared" si="84"/>
        <v>0</v>
      </c>
      <c r="DY111" s="22"/>
      <c r="DZ111" s="22"/>
      <c r="EA111" s="22"/>
      <c r="EB111" s="20">
        <f t="shared" si="102"/>
        <v>0</v>
      </c>
      <c r="EC111" s="22"/>
      <c r="ED111" s="22"/>
      <c r="EE111" s="23">
        <f t="shared" si="87"/>
        <v>0</v>
      </c>
      <c r="EF111" s="23">
        <f t="shared" si="85"/>
        <v>0</v>
      </c>
      <c r="EG111" s="23">
        <f t="shared" si="86"/>
        <v>0</v>
      </c>
      <c r="EH111" s="22"/>
      <c r="EI111" s="22"/>
      <c r="EJ111" s="22"/>
      <c r="EK111" s="22"/>
      <c r="EL111" s="22"/>
      <c r="EM111" s="22"/>
      <c r="EN111" s="22"/>
      <c r="EO111" s="22"/>
      <c r="EP111" s="22"/>
      <c r="EQ111" s="22"/>
      <c r="ER111" s="22"/>
      <c r="ES111" s="22"/>
      <c r="ET111" s="22"/>
      <c r="EU111" s="22"/>
      <c r="EV111" s="22"/>
    </row>
    <row r="112" spans="1:152" ht="30.75" hidden="1" customHeight="1" x14ac:dyDescent="0.2">
      <c r="A112" s="19"/>
      <c r="B112" s="20"/>
      <c r="C112" s="21"/>
      <c r="D112" s="21"/>
      <c r="E112" s="22"/>
      <c r="F112" s="20">
        <f t="shared" si="88"/>
        <v>0</v>
      </c>
      <c r="G112" s="22"/>
      <c r="H112" s="22"/>
      <c r="I112" s="23">
        <f t="shared" ref="I112:I132" si="103">I41*(($B41)+D41)*0.1*C41</f>
        <v>0</v>
      </c>
      <c r="J112" s="23">
        <f t="shared" ref="J112:J133" si="104">J41*(($B41)+D41)*0.5*C41</f>
        <v>0</v>
      </c>
      <c r="K112" s="23">
        <f t="shared" ref="K112:K133" si="105">K41*(($B41)+D41)*C41</f>
        <v>0</v>
      </c>
      <c r="L112" s="22"/>
      <c r="M112" s="22"/>
      <c r="N112" s="22"/>
      <c r="O112" s="20">
        <f t="shared" si="89"/>
        <v>0</v>
      </c>
      <c r="P112" s="22"/>
      <c r="Q112" s="22"/>
      <c r="R112" s="23">
        <f t="shared" si="46"/>
        <v>0</v>
      </c>
      <c r="S112" s="23">
        <f t="shared" si="47"/>
        <v>0</v>
      </c>
      <c r="T112" s="23">
        <f t="shared" si="48"/>
        <v>0</v>
      </c>
      <c r="U112" s="22"/>
      <c r="V112" s="22"/>
      <c r="W112" s="22"/>
      <c r="X112" s="20">
        <f t="shared" si="90"/>
        <v>0</v>
      </c>
      <c r="Y112" s="22"/>
      <c r="Z112" s="22"/>
      <c r="AA112" s="23">
        <f t="shared" si="49"/>
        <v>0</v>
      </c>
      <c r="AB112" s="23">
        <f t="shared" si="50"/>
        <v>0</v>
      </c>
      <c r="AC112" s="23">
        <f t="shared" si="51"/>
        <v>0</v>
      </c>
      <c r="AD112" s="22"/>
      <c r="AE112" s="22"/>
      <c r="AF112" s="22"/>
      <c r="AG112" s="20">
        <f t="shared" si="91"/>
        <v>0</v>
      </c>
      <c r="AH112" s="22"/>
      <c r="AI112" s="22"/>
      <c r="AJ112" s="23">
        <f t="shared" si="52"/>
        <v>0</v>
      </c>
      <c r="AK112" s="23">
        <f t="shared" si="53"/>
        <v>0</v>
      </c>
      <c r="AL112" s="23">
        <f t="shared" si="54"/>
        <v>0</v>
      </c>
      <c r="AM112" s="22"/>
      <c r="AN112" s="22"/>
      <c r="AO112" s="22"/>
      <c r="AP112" s="20">
        <f t="shared" si="92"/>
        <v>0</v>
      </c>
      <c r="AQ112" s="22"/>
      <c r="AR112" s="22"/>
      <c r="AS112" s="23">
        <f t="shared" si="55"/>
        <v>0</v>
      </c>
      <c r="AT112" s="23">
        <f t="shared" si="56"/>
        <v>0</v>
      </c>
      <c r="AU112" s="23">
        <f t="shared" si="57"/>
        <v>0</v>
      </c>
      <c r="AV112" s="22"/>
      <c r="AW112" s="22"/>
      <c r="AX112" s="22"/>
      <c r="AY112" s="20">
        <f t="shared" si="93"/>
        <v>0</v>
      </c>
      <c r="AZ112" s="22"/>
      <c r="BA112" s="22"/>
      <c r="BB112" s="23">
        <f t="shared" si="58"/>
        <v>0</v>
      </c>
      <c r="BC112" s="23">
        <f t="shared" si="59"/>
        <v>0</v>
      </c>
      <c r="BD112" s="23">
        <f t="shared" si="60"/>
        <v>0</v>
      </c>
      <c r="BE112" s="22"/>
      <c r="BF112" s="22"/>
      <c r="BG112" s="22"/>
      <c r="BH112" s="20">
        <f t="shared" si="94"/>
        <v>0</v>
      </c>
      <c r="BI112" s="22"/>
      <c r="BJ112" s="22"/>
      <c r="BK112" s="23">
        <f t="shared" si="61"/>
        <v>0</v>
      </c>
      <c r="BL112" s="23">
        <f t="shared" si="62"/>
        <v>0</v>
      </c>
      <c r="BM112" s="23">
        <f t="shared" si="63"/>
        <v>0</v>
      </c>
      <c r="BN112" s="22"/>
      <c r="BO112" s="22"/>
      <c r="BP112" s="22"/>
      <c r="BQ112" s="20">
        <f t="shared" si="95"/>
        <v>0</v>
      </c>
      <c r="BR112" s="22"/>
      <c r="BS112" s="22"/>
      <c r="BT112" s="23">
        <f t="shared" si="64"/>
        <v>0</v>
      </c>
      <c r="BU112" s="23">
        <f t="shared" si="65"/>
        <v>0</v>
      </c>
      <c r="BV112" s="23">
        <f t="shared" si="66"/>
        <v>0</v>
      </c>
      <c r="BW112" s="22"/>
      <c r="BX112" s="22"/>
      <c r="BY112" s="22"/>
      <c r="BZ112" s="20">
        <f t="shared" si="96"/>
        <v>0</v>
      </c>
      <c r="CA112" s="22"/>
      <c r="CB112" s="22"/>
      <c r="CC112" s="23">
        <f t="shared" si="67"/>
        <v>0</v>
      </c>
      <c r="CD112" s="23">
        <f t="shared" si="68"/>
        <v>0</v>
      </c>
      <c r="CE112" s="23">
        <f t="shared" si="69"/>
        <v>0</v>
      </c>
      <c r="CF112" s="22"/>
      <c r="CG112" s="22"/>
      <c r="CH112" s="22"/>
      <c r="CI112" s="20">
        <f t="shared" si="97"/>
        <v>0</v>
      </c>
      <c r="CJ112" s="22"/>
      <c r="CK112" s="22"/>
      <c r="CL112" s="23">
        <f t="shared" si="70"/>
        <v>0</v>
      </c>
      <c r="CM112" s="23">
        <f t="shared" si="71"/>
        <v>0</v>
      </c>
      <c r="CN112" s="23">
        <f t="shared" si="72"/>
        <v>0</v>
      </c>
      <c r="CO112" s="22"/>
      <c r="CP112" s="22"/>
      <c r="CQ112" s="22"/>
      <c r="CR112" s="20">
        <f t="shared" si="98"/>
        <v>0</v>
      </c>
      <c r="CS112" s="22"/>
      <c r="CT112" s="22"/>
      <c r="CU112" s="23">
        <f t="shared" si="73"/>
        <v>0</v>
      </c>
      <c r="CV112" s="23">
        <f t="shared" si="74"/>
        <v>0</v>
      </c>
      <c r="CW112" s="23">
        <f t="shared" si="75"/>
        <v>0</v>
      </c>
      <c r="CX112" s="22"/>
      <c r="CY112" s="22"/>
      <c r="CZ112" s="22"/>
      <c r="DA112" s="20">
        <f t="shared" si="99"/>
        <v>0</v>
      </c>
      <c r="DB112" s="22"/>
      <c r="DC112" s="22"/>
      <c r="DD112" s="23">
        <f t="shared" si="76"/>
        <v>0</v>
      </c>
      <c r="DE112" s="23">
        <f t="shared" si="77"/>
        <v>0</v>
      </c>
      <c r="DF112" s="23">
        <f t="shared" si="78"/>
        <v>0</v>
      </c>
      <c r="DG112" s="22"/>
      <c r="DH112" s="22"/>
      <c r="DI112" s="22"/>
      <c r="DJ112" s="20">
        <f t="shared" si="100"/>
        <v>0</v>
      </c>
      <c r="DK112" s="22"/>
      <c r="DL112" s="22"/>
      <c r="DM112" s="23">
        <f t="shared" si="79"/>
        <v>0</v>
      </c>
      <c r="DN112" s="23">
        <f t="shared" si="80"/>
        <v>0</v>
      </c>
      <c r="DO112" s="23">
        <f t="shared" si="81"/>
        <v>0</v>
      </c>
      <c r="DP112" s="22"/>
      <c r="DQ112" s="22"/>
      <c r="DR112" s="22"/>
      <c r="DS112" s="20">
        <f t="shared" si="101"/>
        <v>0</v>
      </c>
      <c r="DT112" s="22"/>
      <c r="DU112" s="22"/>
      <c r="DV112" s="23">
        <f t="shared" si="82"/>
        <v>0</v>
      </c>
      <c r="DW112" s="23">
        <f t="shared" si="83"/>
        <v>0</v>
      </c>
      <c r="DX112" s="23">
        <f t="shared" si="84"/>
        <v>0</v>
      </c>
      <c r="DY112" s="22"/>
      <c r="DZ112" s="22"/>
      <c r="EA112" s="22"/>
      <c r="EB112" s="20">
        <f t="shared" si="102"/>
        <v>0</v>
      </c>
      <c r="EC112" s="22"/>
      <c r="ED112" s="22"/>
      <c r="EE112" s="23">
        <f t="shared" si="87"/>
        <v>0</v>
      </c>
      <c r="EF112" s="23">
        <f t="shared" si="85"/>
        <v>0</v>
      </c>
      <c r="EG112" s="23">
        <f t="shared" si="86"/>
        <v>0</v>
      </c>
      <c r="EH112" s="22"/>
      <c r="EI112" s="22"/>
      <c r="EJ112" s="22"/>
      <c r="EK112" s="22"/>
      <c r="EL112" s="22"/>
      <c r="EM112" s="22"/>
      <c r="EN112" s="22"/>
      <c r="EO112" s="22"/>
      <c r="EP112" s="22"/>
      <c r="EQ112" s="22"/>
      <c r="ER112" s="22"/>
      <c r="ES112" s="22"/>
      <c r="ET112" s="22"/>
      <c r="EU112" s="22"/>
      <c r="EV112" s="22"/>
    </row>
    <row r="113" spans="1:152" ht="33.75" hidden="1" customHeight="1" x14ac:dyDescent="0.2">
      <c r="A113" s="19"/>
      <c r="B113" s="20"/>
      <c r="C113" s="21"/>
      <c r="D113" s="21"/>
      <c r="E113" s="22"/>
      <c r="F113" s="20">
        <f t="shared" si="88"/>
        <v>0</v>
      </c>
      <c r="G113" s="22"/>
      <c r="H113" s="22"/>
      <c r="I113" s="23">
        <f t="shared" si="103"/>
        <v>0</v>
      </c>
      <c r="J113" s="23">
        <f t="shared" si="104"/>
        <v>0</v>
      </c>
      <c r="K113" s="23">
        <f t="shared" si="105"/>
        <v>0</v>
      </c>
      <c r="L113" s="22"/>
      <c r="M113" s="22"/>
      <c r="N113" s="22"/>
      <c r="O113" s="20">
        <f t="shared" si="89"/>
        <v>0</v>
      </c>
      <c r="P113" s="22"/>
      <c r="Q113" s="22"/>
      <c r="R113" s="23">
        <f t="shared" si="46"/>
        <v>0</v>
      </c>
      <c r="S113" s="23">
        <f t="shared" si="47"/>
        <v>0</v>
      </c>
      <c r="T113" s="23">
        <f t="shared" si="48"/>
        <v>0</v>
      </c>
      <c r="U113" s="22"/>
      <c r="V113" s="22"/>
      <c r="W113" s="22"/>
      <c r="X113" s="20">
        <f t="shared" si="90"/>
        <v>0</v>
      </c>
      <c r="Y113" s="22"/>
      <c r="Z113" s="22"/>
      <c r="AA113" s="23">
        <f t="shared" si="49"/>
        <v>0</v>
      </c>
      <c r="AB113" s="23">
        <f t="shared" si="50"/>
        <v>0</v>
      </c>
      <c r="AC113" s="23">
        <f t="shared" si="51"/>
        <v>0</v>
      </c>
      <c r="AD113" s="22"/>
      <c r="AE113" s="22"/>
      <c r="AF113" s="22"/>
      <c r="AG113" s="20">
        <f t="shared" si="91"/>
        <v>0</v>
      </c>
      <c r="AH113" s="22"/>
      <c r="AI113" s="22"/>
      <c r="AJ113" s="23">
        <f t="shared" si="52"/>
        <v>0</v>
      </c>
      <c r="AK113" s="23">
        <f t="shared" si="53"/>
        <v>0</v>
      </c>
      <c r="AL113" s="23">
        <f t="shared" si="54"/>
        <v>0</v>
      </c>
      <c r="AM113" s="22"/>
      <c r="AN113" s="22"/>
      <c r="AO113" s="22"/>
      <c r="AP113" s="20">
        <f t="shared" si="92"/>
        <v>0</v>
      </c>
      <c r="AQ113" s="22"/>
      <c r="AR113" s="22"/>
      <c r="AS113" s="23">
        <f t="shared" si="55"/>
        <v>0</v>
      </c>
      <c r="AT113" s="23">
        <f t="shared" si="56"/>
        <v>0</v>
      </c>
      <c r="AU113" s="23">
        <f t="shared" si="57"/>
        <v>0</v>
      </c>
      <c r="AV113" s="22"/>
      <c r="AW113" s="22"/>
      <c r="AX113" s="22"/>
      <c r="AY113" s="20">
        <f t="shared" si="93"/>
        <v>0</v>
      </c>
      <c r="AZ113" s="22"/>
      <c r="BA113" s="22"/>
      <c r="BB113" s="23">
        <f t="shared" si="58"/>
        <v>0</v>
      </c>
      <c r="BC113" s="23">
        <f t="shared" si="59"/>
        <v>0</v>
      </c>
      <c r="BD113" s="23">
        <f t="shared" si="60"/>
        <v>0</v>
      </c>
      <c r="BE113" s="22"/>
      <c r="BF113" s="22"/>
      <c r="BG113" s="22"/>
      <c r="BH113" s="20">
        <f t="shared" si="94"/>
        <v>0</v>
      </c>
      <c r="BI113" s="22"/>
      <c r="BJ113" s="22"/>
      <c r="BK113" s="23">
        <f t="shared" si="61"/>
        <v>0</v>
      </c>
      <c r="BL113" s="23">
        <f t="shared" si="62"/>
        <v>0</v>
      </c>
      <c r="BM113" s="23">
        <f t="shared" si="63"/>
        <v>0</v>
      </c>
      <c r="BN113" s="22"/>
      <c r="BO113" s="22"/>
      <c r="BP113" s="22"/>
      <c r="BQ113" s="20">
        <f t="shared" si="95"/>
        <v>0</v>
      </c>
      <c r="BR113" s="22"/>
      <c r="BS113" s="22"/>
      <c r="BT113" s="23">
        <f t="shared" si="64"/>
        <v>0</v>
      </c>
      <c r="BU113" s="23">
        <f t="shared" si="65"/>
        <v>0</v>
      </c>
      <c r="BV113" s="23">
        <f t="shared" si="66"/>
        <v>0</v>
      </c>
      <c r="BW113" s="22"/>
      <c r="BX113" s="22"/>
      <c r="BY113" s="22"/>
      <c r="BZ113" s="20">
        <f t="shared" si="96"/>
        <v>0</v>
      </c>
      <c r="CA113" s="22"/>
      <c r="CB113" s="22"/>
      <c r="CC113" s="23">
        <f t="shared" si="67"/>
        <v>0</v>
      </c>
      <c r="CD113" s="23">
        <f t="shared" si="68"/>
        <v>0</v>
      </c>
      <c r="CE113" s="23">
        <f t="shared" si="69"/>
        <v>0</v>
      </c>
      <c r="CF113" s="22"/>
      <c r="CG113" s="22"/>
      <c r="CH113" s="22"/>
      <c r="CI113" s="20">
        <f t="shared" si="97"/>
        <v>0</v>
      </c>
      <c r="CJ113" s="22"/>
      <c r="CK113" s="22"/>
      <c r="CL113" s="23">
        <f t="shared" si="70"/>
        <v>0</v>
      </c>
      <c r="CM113" s="23">
        <f t="shared" si="71"/>
        <v>0</v>
      </c>
      <c r="CN113" s="23">
        <f t="shared" si="72"/>
        <v>0</v>
      </c>
      <c r="CO113" s="22"/>
      <c r="CP113" s="22"/>
      <c r="CQ113" s="22"/>
      <c r="CR113" s="20">
        <f t="shared" si="98"/>
        <v>0</v>
      </c>
      <c r="CS113" s="22"/>
      <c r="CT113" s="22"/>
      <c r="CU113" s="23">
        <f t="shared" si="73"/>
        <v>0</v>
      </c>
      <c r="CV113" s="23">
        <f t="shared" si="74"/>
        <v>0</v>
      </c>
      <c r="CW113" s="23">
        <f t="shared" si="75"/>
        <v>0</v>
      </c>
      <c r="CX113" s="22"/>
      <c r="CY113" s="22"/>
      <c r="CZ113" s="22"/>
      <c r="DA113" s="20">
        <f t="shared" si="99"/>
        <v>0</v>
      </c>
      <c r="DB113" s="22"/>
      <c r="DC113" s="22"/>
      <c r="DD113" s="23">
        <f t="shared" si="76"/>
        <v>0</v>
      </c>
      <c r="DE113" s="23">
        <f t="shared" si="77"/>
        <v>0</v>
      </c>
      <c r="DF113" s="23">
        <f t="shared" si="78"/>
        <v>0</v>
      </c>
      <c r="DG113" s="22"/>
      <c r="DH113" s="22"/>
      <c r="DI113" s="22"/>
      <c r="DJ113" s="20">
        <f t="shared" si="100"/>
        <v>0</v>
      </c>
      <c r="DK113" s="22"/>
      <c r="DL113" s="22"/>
      <c r="DM113" s="23">
        <f t="shared" si="79"/>
        <v>0</v>
      </c>
      <c r="DN113" s="23">
        <f t="shared" si="80"/>
        <v>0</v>
      </c>
      <c r="DO113" s="23">
        <f t="shared" si="81"/>
        <v>0</v>
      </c>
      <c r="DP113" s="22"/>
      <c r="DQ113" s="22"/>
      <c r="DR113" s="22"/>
      <c r="DS113" s="20">
        <f t="shared" si="101"/>
        <v>0</v>
      </c>
      <c r="DT113" s="22"/>
      <c r="DU113" s="22"/>
      <c r="DV113" s="23">
        <f t="shared" si="82"/>
        <v>0</v>
      </c>
      <c r="DW113" s="23">
        <f t="shared" si="83"/>
        <v>0</v>
      </c>
      <c r="DX113" s="23">
        <f t="shared" si="84"/>
        <v>0</v>
      </c>
      <c r="DY113" s="22"/>
      <c r="DZ113" s="22"/>
      <c r="EA113" s="22"/>
      <c r="EB113" s="20">
        <f t="shared" si="102"/>
        <v>0</v>
      </c>
      <c r="EC113" s="22"/>
      <c r="ED113" s="22"/>
      <c r="EE113" s="23">
        <f t="shared" si="87"/>
        <v>0</v>
      </c>
      <c r="EF113" s="23">
        <f t="shared" si="85"/>
        <v>0</v>
      </c>
      <c r="EG113" s="23">
        <f t="shared" si="86"/>
        <v>0</v>
      </c>
      <c r="EH113" s="22"/>
      <c r="EI113" s="22"/>
      <c r="EJ113" s="22"/>
      <c r="EK113" s="22"/>
      <c r="EL113" s="22"/>
      <c r="EM113" s="22"/>
      <c r="EN113" s="22"/>
      <c r="EO113" s="22"/>
      <c r="EP113" s="22"/>
      <c r="EQ113" s="22"/>
      <c r="ER113" s="22"/>
      <c r="ES113" s="22"/>
      <c r="ET113" s="22"/>
      <c r="EU113" s="22"/>
      <c r="EV113" s="22"/>
    </row>
    <row r="114" spans="1:152" ht="34.5" hidden="1" customHeight="1" x14ac:dyDescent="0.2">
      <c r="A114" s="19"/>
      <c r="B114" s="20"/>
      <c r="C114" s="21"/>
      <c r="D114" s="21"/>
      <c r="E114" s="22"/>
      <c r="F114" s="20">
        <f t="shared" si="88"/>
        <v>0</v>
      </c>
      <c r="G114" s="22"/>
      <c r="H114" s="22"/>
      <c r="I114" s="23">
        <f t="shared" si="103"/>
        <v>0</v>
      </c>
      <c r="J114" s="23">
        <f t="shared" si="104"/>
        <v>0</v>
      </c>
      <c r="K114" s="23">
        <f t="shared" si="105"/>
        <v>0</v>
      </c>
      <c r="L114" s="22"/>
      <c r="M114" s="22"/>
      <c r="N114" s="22"/>
      <c r="O114" s="20">
        <f t="shared" si="89"/>
        <v>0</v>
      </c>
      <c r="P114" s="22"/>
      <c r="Q114" s="22"/>
      <c r="R114" s="23">
        <f t="shared" si="46"/>
        <v>0</v>
      </c>
      <c r="S114" s="23">
        <f t="shared" si="47"/>
        <v>0</v>
      </c>
      <c r="T114" s="23">
        <f t="shared" si="48"/>
        <v>0</v>
      </c>
      <c r="U114" s="22"/>
      <c r="V114" s="22"/>
      <c r="W114" s="22"/>
      <c r="X114" s="20">
        <f t="shared" si="90"/>
        <v>0</v>
      </c>
      <c r="Y114" s="22"/>
      <c r="Z114" s="22"/>
      <c r="AA114" s="23">
        <f t="shared" si="49"/>
        <v>0</v>
      </c>
      <c r="AB114" s="23">
        <f t="shared" si="50"/>
        <v>0</v>
      </c>
      <c r="AC114" s="23">
        <f t="shared" si="51"/>
        <v>0</v>
      </c>
      <c r="AD114" s="22"/>
      <c r="AE114" s="22"/>
      <c r="AF114" s="22"/>
      <c r="AG114" s="20">
        <f t="shared" si="91"/>
        <v>0</v>
      </c>
      <c r="AH114" s="22"/>
      <c r="AI114" s="22"/>
      <c r="AJ114" s="23">
        <f t="shared" si="52"/>
        <v>0</v>
      </c>
      <c r="AK114" s="23">
        <f t="shared" si="53"/>
        <v>0</v>
      </c>
      <c r="AL114" s="23">
        <f t="shared" si="54"/>
        <v>0</v>
      </c>
      <c r="AM114" s="22"/>
      <c r="AN114" s="22"/>
      <c r="AO114" s="22"/>
      <c r="AP114" s="20">
        <f t="shared" si="92"/>
        <v>0</v>
      </c>
      <c r="AQ114" s="22"/>
      <c r="AR114" s="22"/>
      <c r="AS114" s="23">
        <f t="shared" si="55"/>
        <v>0</v>
      </c>
      <c r="AT114" s="23">
        <f t="shared" si="56"/>
        <v>0</v>
      </c>
      <c r="AU114" s="23">
        <f t="shared" si="57"/>
        <v>0</v>
      </c>
      <c r="AV114" s="22"/>
      <c r="AW114" s="22"/>
      <c r="AX114" s="22"/>
      <c r="AY114" s="20">
        <f t="shared" si="93"/>
        <v>0</v>
      </c>
      <c r="AZ114" s="22"/>
      <c r="BA114" s="22"/>
      <c r="BB114" s="23">
        <f t="shared" si="58"/>
        <v>0</v>
      </c>
      <c r="BC114" s="23">
        <f t="shared" si="59"/>
        <v>0</v>
      </c>
      <c r="BD114" s="23">
        <f t="shared" si="60"/>
        <v>0</v>
      </c>
      <c r="BE114" s="22"/>
      <c r="BF114" s="22"/>
      <c r="BG114" s="22"/>
      <c r="BH114" s="20">
        <f t="shared" si="94"/>
        <v>0</v>
      </c>
      <c r="BI114" s="22"/>
      <c r="BJ114" s="22"/>
      <c r="BK114" s="23">
        <f t="shared" si="61"/>
        <v>0</v>
      </c>
      <c r="BL114" s="23">
        <f t="shared" si="62"/>
        <v>0</v>
      </c>
      <c r="BM114" s="23">
        <f t="shared" si="63"/>
        <v>0</v>
      </c>
      <c r="BN114" s="22"/>
      <c r="BO114" s="22"/>
      <c r="BP114" s="22"/>
      <c r="BQ114" s="20">
        <f t="shared" si="95"/>
        <v>0</v>
      </c>
      <c r="BR114" s="22"/>
      <c r="BS114" s="22"/>
      <c r="BT114" s="23">
        <f t="shared" si="64"/>
        <v>0</v>
      </c>
      <c r="BU114" s="23">
        <f t="shared" si="65"/>
        <v>0</v>
      </c>
      <c r="BV114" s="23">
        <f t="shared" si="66"/>
        <v>0</v>
      </c>
      <c r="BW114" s="22"/>
      <c r="BX114" s="22"/>
      <c r="BY114" s="22"/>
      <c r="BZ114" s="20">
        <f t="shared" si="96"/>
        <v>0</v>
      </c>
      <c r="CA114" s="22"/>
      <c r="CB114" s="22"/>
      <c r="CC114" s="23">
        <f t="shared" si="67"/>
        <v>0</v>
      </c>
      <c r="CD114" s="23">
        <f t="shared" si="68"/>
        <v>0</v>
      </c>
      <c r="CE114" s="23">
        <f t="shared" si="69"/>
        <v>0</v>
      </c>
      <c r="CF114" s="22"/>
      <c r="CG114" s="22"/>
      <c r="CH114" s="22"/>
      <c r="CI114" s="20">
        <f t="shared" si="97"/>
        <v>0</v>
      </c>
      <c r="CJ114" s="22"/>
      <c r="CK114" s="22"/>
      <c r="CL114" s="23">
        <f t="shared" si="70"/>
        <v>0</v>
      </c>
      <c r="CM114" s="23">
        <f t="shared" si="71"/>
        <v>0</v>
      </c>
      <c r="CN114" s="23">
        <f t="shared" si="72"/>
        <v>0</v>
      </c>
      <c r="CO114" s="22"/>
      <c r="CP114" s="22"/>
      <c r="CQ114" s="22"/>
      <c r="CR114" s="20">
        <f t="shared" si="98"/>
        <v>0</v>
      </c>
      <c r="CS114" s="22"/>
      <c r="CT114" s="22"/>
      <c r="CU114" s="23">
        <f t="shared" si="73"/>
        <v>0</v>
      </c>
      <c r="CV114" s="23">
        <f t="shared" si="74"/>
        <v>0</v>
      </c>
      <c r="CW114" s="23">
        <f t="shared" si="75"/>
        <v>0</v>
      </c>
      <c r="CX114" s="22"/>
      <c r="CY114" s="22"/>
      <c r="CZ114" s="22"/>
      <c r="DA114" s="20">
        <f t="shared" si="99"/>
        <v>0</v>
      </c>
      <c r="DB114" s="22"/>
      <c r="DC114" s="22"/>
      <c r="DD114" s="23">
        <f t="shared" si="76"/>
        <v>0</v>
      </c>
      <c r="DE114" s="23">
        <f t="shared" si="77"/>
        <v>0</v>
      </c>
      <c r="DF114" s="23">
        <f t="shared" si="78"/>
        <v>0</v>
      </c>
      <c r="DG114" s="22"/>
      <c r="DH114" s="22"/>
      <c r="DI114" s="22"/>
      <c r="DJ114" s="20">
        <f t="shared" si="100"/>
        <v>0</v>
      </c>
      <c r="DK114" s="22"/>
      <c r="DL114" s="22"/>
      <c r="DM114" s="23">
        <f t="shared" si="79"/>
        <v>0</v>
      </c>
      <c r="DN114" s="23">
        <f t="shared" si="80"/>
        <v>0</v>
      </c>
      <c r="DO114" s="23">
        <f t="shared" si="81"/>
        <v>0</v>
      </c>
      <c r="DP114" s="22"/>
      <c r="DQ114" s="22"/>
      <c r="DR114" s="22"/>
      <c r="DS114" s="20">
        <f t="shared" si="101"/>
        <v>0</v>
      </c>
      <c r="DT114" s="22"/>
      <c r="DU114" s="22"/>
      <c r="DV114" s="23">
        <f t="shared" si="82"/>
        <v>0</v>
      </c>
      <c r="DW114" s="23">
        <f t="shared" si="83"/>
        <v>0</v>
      </c>
      <c r="DX114" s="23">
        <f t="shared" si="84"/>
        <v>0</v>
      </c>
      <c r="DY114" s="22"/>
      <c r="DZ114" s="22"/>
      <c r="EA114" s="22"/>
      <c r="EB114" s="20">
        <f t="shared" si="102"/>
        <v>0</v>
      </c>
      <c r="EC114" s="22"/>
      <c r="ED114" s="22"/>
      <c r="EE114" s="23">
        <f t="shared" si="87"/>
        <v>0</v>
      </c>
      <c r="EF114" s="23">
        <f t="shared" si="85"/>
        <v>0</v>
      </c>
      <c r="EG114" s="23">
        <f t="shared" si="86"/>
        <v>0</v>
      </c>
      <c r="EH114" s="22"/>
      <c r="EI114" s="22"/>
      <c r="EJ114" s="22"/>
      <c r="EK114" s="22"/>
      <c r="EL114" s="22"/>
      <c r="EM114" s="22"/>
      <c r="EN114" s="22"/>
      <c r="EO114" s="22"/>
      <c r="EP114" s="22"/>
      <c r="EQ114" s="22"/>
      <c r="ER114" s="22"/>
      <c r="ES114" s="22"/>
      <c r="ET114" s="22"/>
      <c r="EU114" s="22"/>
      <c r="EV114" s="22"/>
    </row>
    <row r="115" spans="1:152" ht="40.5" hidden="1" customHeight="1" x14ac:dyDescent="0.2">
      <c r="A115" s="19"/>
      <c r="B115" s="20"/>
      <c r="C115" s="21"/>
      <c r="D115" s="21"/>
      <c r="E115" s="22"/>
      <c r="F115" s="20">
        <f t="shared" si="88"/>
        <v>0</v>
      </c>
      <c r="G115" s="22"/>
      <c r="H115" s="22"/>
      <c r="I115" s="23">
        <f t="shared" si="103"/>
        <v>0</v>
      </c>
      <c r="J115" s="23">
        <f t="shared" si="104"/>
        <v>0</v>
      </c>
      <c r="K115" s="23">
        <f t="shared" si="105"/>
        <v>0</v>
      </c>
      <c r="L115" s="22"/>
      <c r="M115" s="22"/>
      <c r="N115" s="22"/>
      <c r="O115" s="20">
        <f t="shared" si="89"/>
        <v>0</v>
      </c>
      <c r="P115" s="22"/>
      <c r="Q115" s="22"/>
      <c r="R115" s="23">
        <f t="shared" si="46"/>
        <v>0</v>
      </c>
      <c r="S115" s="23">
        <f t="shared" si="47"/>
        <v>0</v>
      </c>
      <c r="T115" s="23">
        <f t="shared" si="48"/>
        <v>0</v>
      </c>
      <c r="U115" s="22"/>
      <c r="V115" s="22"/>
      <c r="W115" s="22"/>
      <c r="X115" s="20">
        <f t="shared" si="90"/>
        <v>0</v>
      </c>
      <c r="Y115" s="22"/>
      <c r="Z115" s="22"/>
      <c r="AA115" s="23">
        <f t="shared" si="49"/>
        <v>0</v>
      </c>
      <c r="AB115" s="23">
        <f t="shared" si="50"/>
        <v>0</v>
      </c>
      <c r="AC115" s="23">
        <f t="shared" si="51"/>
        <v>0</v>
      </c>
      <c r="AD115" s="22"/>
      <c r="AE115" s="22"/>
      <c r="AF115" s="22"/>
      <c r="AG115" s="20">
        <f t="shared" si="91"/>
        <v>0</v>
      </c>
      <c r="AH115" s="22"/>
      <c r="AI115" s="22"/>
      <c r="AJ115" s="23">
        <f t="shared" si="52"/>
        <v>0</v>
      </c>
      <c r="AK115" s="23">
        <f t="shared" si="53"/>
        <v>0</v>
      </c>
      <c r="AL115" s="23">
        <f t="shared" si="54"/>
        <v>0</v>
      </c>
      <c r="AM115" s="22"/>
      <c r="AN115" s="22"/>
      <c r="AO115" s="22"/>
      <c r="AP115" s="20">
        <f t="shared" si="92"/>
        <v>0</v>
      </c>
      <c r="AQ115" s="22"/>
      <c r="AR115" s="22"/>
      <c r="AS115" s="23">
        <f t="shared" si="55"/>
        <v>0</v>
      </c>
      <c r="AT115" s="23">
        <f t="shared" si="56"/>
        <v>0</v>
      </c>
      <c r="AU115" s="23">
        <f t="shared" si="57"/>
        <v>0</v>
      </c>
      <c r="AV115" s="22"/>
      <c r="AW115" s="22"/>
      <c r="AX115" s="22"/>
      <c r="AY115" s="20">
        <f t="shared" si="93"/>
        <v>0</v>
      </c>
      <c r="AZ115" s="22"/>
      <c r="BA115" s="22"/>
      <c r="BB115" s="23">
        <f t="shared" si="58"/>
        <v>0</v>
      </c>
      <c r="BC115" s="23">
        <f t="shared" si="59"/>
        <v>0</v>
      </c>
      <c r="BD115" s="23">
        <f t="shared" si="60"/>
        <v>0</v>
      </c>
      <c r="BE115" s="22"/>
      <c r="BF115" s="22"/>
      <c r="BG115" s="22"/>
      <c r="BH115" s="20">
        <f t="shared" si="94"/>
        <v>0</v>
      </c>
      <c r="BI115" s="22"/>
      <c r="BJ115" s="22"/>
      <c r="BK115" s="23">
        <f t="shared" si="61"/>
        <v>0</v>
      </c>
      <c r="BL115" s="23">
        <f t="shared" si="62"/>
        <v>0</v>
      </c>
      <c r="BM115" s="23">
        <f t="shared" si="63"/>
        <v>0</v>
      </c>
      <c r="BN115" s="22"/>
      <c r="BO115" s="22"/>
      <c r="BP115" s="22"/>
      <c r="BQ115" s="20">
        <f t="shared" si="95"/>
        <v>0</v>
      </c>
      <c r="BR115" s="22"/>
      <c r="BS115" s="22"/>
      <c r="BT115" s="23">
        <f t="shared" si="64"/>
        <v>0</v>
      </c>
      <c r="BU115" s="23">
        <f t="shared" si="65"/>
        <v>0</v>
      </c>
      <c r="BV115" s="23">
        <f t="shared" si="66"/>
        <v>0</v>
      </c>
      <c r="BW115" s="22"/>
      <c r="BX115" s="22"/>
      <c r="BY115" s="22"/>
      <c r="BZ115" s="20">
        <f t="shared" si="96"/>
        <v>0</v>
      </c>
      <c r="CA115" s="22"/>
      <c r="CB115" s="22"/>
      <c r="CC115" s="23">
        <f t="shared" si="67"/>
        <v>0</v>
      </c>
      <c r="CD115" s="23">
        <f t="shared" si="68"/>
        <v>0</v>
      </c>
      <c r="CE115" s="23">
        <f t="shared" si="69"/>
        <v>0</v>
      </c>
      <c r="CF115" s="22"/>
      <c r="CG115" s="22"/>
      <c r="CH115" s="22"/>
      <c r="CI115" s="20">
        <f t="shared" si="97"/>
        <v>0</v>
      </c>
      <c r="CJ115" s="22"/>
      <c r="CK115" s="22"/>
      <c r="CL115" s="23">
        <f t="shared" si="70"/>
        <v>0</v>
      </c>
      <c r="CM115" s="23">
        <f t="shared" si="71"/>
        <v>0</v>
      </c>
      <c r="CN115" s="23">
        <f t="shared" si="72"/>
        <v>0</v>
      </c>
      <c r="CO115" s="22"/>
      <c r="CP115" s="22"/>
      <c r="CQ115" s="22"/>
      <c r="CR115" s="20">
        <f t="shared" si="98"/>
        <v>0</v>
      </c>
      <c r="CS115" s="22"/>
      <c r="CT115" s="22"/>
      <c r="CU115" s="23">
        <f t="shared" si="73"/>
        <v>0</v>
      </c>
      <c r="CV115" s="23">
        <f t="shared" si="74"/>
        <v>0</v>
      </c>
      <c r="CW115" s="23">
        <f t="shared" si="75"/>
        <v>0</v>
      </c>
      <c r="CX115" s="22"/>
      <c r="CY115" s="22"/>
      <c r="CZ115" s="22"/>
      <c r="DA115" s="20">
        <f t="shared" si="99"/>
        <v>0</v>
      </c>
      <c r="DB115" s="22"/>
      <c r="DC115" s="22"/>
      <c r="DD115" s="23">
        <f t="shared" si="76"/>
        <v>0</v>
      </c>
      <c r="DE115" s="23">
        <f t="shared" si="77"/>
        <v>0</v>
      </c>
      <c r="DF115" s="23">
        <f t="shared" si="78"/>
        <v>0</v>
      </c>
      <c r="DG115" s="22"/>
      <c r="DH115" s="22"/>
      <c r="DI115" s="22"/>
      <c r="DJ115" s="20">
        <f t="shared" si="100"/>
        <v>0</v>
      </c>
      <c r="DK115" s="22"/>
      <c r="DL115" s="22"/>
      <c r="DM115" s="23">
        <f t="shared" si="79"/>
        <v>0</v>
      </c>
      <c r="DN115" s="23">
        <f t="shared" si="80"/>
        <v>0</v>
      </c>
      <c r="DO115" s="23">
        <f t="shared" si="81"/>
        <v>0</v>
      </c>
      <c r="DP115" s="22"/>
      <c r="DQ115" s="22"/>
      <c r="DR115" s="22"/>
      <c r="DS115" s="20">
        <f t="shared" si="101"/>
        <v>0</v>
      </c>
      <c r="DT115" s="22"/>
      <c r="DU115" s="22"/>
      <c r="DV115" s="23">
        <f t="shared" si="82"/>
        <v>0</v>
      </c>
      <c r="DW115" s="23">
        <f t="shared" si="83"/>
        <v>0</v>
      </c>
      <c r="DX115" s="23">
        <f t="shared" si="84"/>
        <v>0</v>
      </c>
      <c r="DY115" s="22"/>
      <c r="DZ115" s="22"/>
      <c r="EA115" s="22"/>
      <c r="EB115" s="20">
        <f t="shared" si="102"/>
        <v>0</v>
      </c>
      <c r="EC115" s="22"/>
      <c r="ED115" s="22"/>
      <c r="EE115" s="23">
        <f t="shared" si="87"/>
        <v>0</v>
      </c>
      <c r="EF115" s="23">
        <f t="shared" si="85"/>
        <v>0</v>
      </c>
      <c r="EG115" s="23">
        <f t="shared" si="86"/>
        <v>0</v>
      </c>
      <c r="EH115" s="22"/>
      <c r="EI115" s="22"/>
      <c r="EJ115" s="22"/>
      <c r="EK115" s="22"/>
      <c r="EL115" s="22"/>
      <c r="EM115" s="22"/>
      <c r="EN115" s="22"/>
      <c r="EO115" s="22"/>
      <c r="EP115" s="22"/>
      <c r="EQ115" s="22"/>
      <c r="ER115" s="22"/>
      <c r="ES115" s="22"/>
      <c r="ET115" s="22"/>
      <c r="EU115" s="22"/>
      <c r="EV115" s="22"/>
    </row>
    <row r="116" spans="1:152" ht="38.25" hidden="1" customHeight="1" x14ac:dyDescent="0.2">
      <c r="A116" s="19"/>
      <c r="B116" s="20"/>
      <c r="C116" s="21"/>
      <c r="D116" s="21"/>
      <c r="E116" s="22"/>
      <c r="F116" s="20">
        <f t="shared" si="88"/>
        <v>0</v>
      </c>
      <c r="G116" s="22"/>
      <c r="H116" s="22"/>
      <c r="I116" s="23">
        <f t="shared" si="103"/>
        <v>0</v>
      </c>
      <c r="J116" s="23">
        <f t="shared" si="104"/>
        <v>0</v>
      </c>
      <c r="K116" s="23">
        <f t="shared" si="105"/>
        <v>0</v>
      </c>
      <c r="L116" s="22"/>
      <c r="M116" s="22"/>
      <c r="N116" s="22"/>
      <c r="O116" s="20">
        <f t="shared" si="89"/>
        <v>0</v>
      </c>
      <c r="P116" s="22"/>
      <c r="Q116" s="22"/>
      <c r="R116" s="23">
        <f t="shared" si="46"/>
        <v>0</v>
      </c>
      <c r="S116" s="23">
        <f t="shared" si="47"/>
        <v>0</v>
      </c>
      <c r="T116" s="23">
        <f t="shared" si="48"/>
        <v>0</v>
      </c>
      <c r="U116" s="22"/>
      <c r="V116" s="22"/>
      <c r="W116" s="22"/>
      <c r="X116" s="20">
        <f t="shared" si="90"/>
        <v>0</v>
      </c>
      <c r="Y116" s="22"/>
      <c r="Z116" s="22"/>
      <c r="AA116" s="23">
        <f t="shared" si="49"/>
        <v>0</v>
      </c>
      <c r="AB116" s="23">
        <f t="shared" si="50"/>
        <v>0</v>
      </c>
      <c r="AC116" s="23">
        <f t="shared" si="51"/>
        <v>0</v>
      </c>
      <c r="AD116" s="22"/>
      <c r="AE116" s="22"/>
      <c r="AF116" s="22"/>
      <c r="AG116" s="20">
        <f t="shared" si="91"/>
        <v>0</v>
      </c>
      <c r="AH116" s="22"/>
      <c r="AI116" s="22"/>
      <c r="AJ116" s="23">
        <f t="shared" si="52"/>
        <v>0</v>
      </c>
      <c r="AK116" s="23">
        <f t="shared" si="53"/>
        <v>0</v>
      </c>
      <c r="AL116" s="23">
        <f t="shared" si="54"/>
        <v>0</v>
      </c>
      <c r="AM116" s="22"/>
      <c r="AN116" s="22"/>
      <c r="AO116" s="22"/>
      <c r="AP116" s="20">
        <f t="shared" si="92"/>
        <v>0</v>
      </c>
      <c r="AQ116" s="22"/>
      <c r="AR116" s="22"/>
      <c r="AS116" s="23">
        <f t="shared" si="55"/>
        <v>0</v>
      </c>
      <c r="AT116" s="23">
        <f t="shared" si="56"/>
        <v>0</v>
      </c>
      <c r="AU116" s="23">
        <f t="shared" si="57"/>
        <v>0</v>
      </c>
      <c r="AV116" s="22"/>
      <c r="AW116" s="22"/>
      <c r="AX116" s="22"/>
      <c r="AY116" s="20">
        <f t="shared" si="93"/>
        <v>0</v>
      </c>
      <c r="AZ116" s="22"/>
      <c r="BA116" s="22"/>
      <c r="BB116" s="23">
        <f t="shared" si="58"/>
        <v>0</v>
      </c>
      <c r="BC116" s="23">
        <f t="shared" si="59"/>
        <v>0</v>
      </c>
      <c r="BD116" s="23">
        <f t="shared" si="60"/>
        <v>0</v>
      </c>
      <c r="BE116" s="22"/>
      <c r="BF116" s="22"/>
      <c r="BG116" s="22"/>
      <c r="BH116" s="20">
        <f t="shared" si="94"/>
        <v>0</v>
      </c>
      <c r="BI116" s="22"/>
      <c r="BJ116" s="22"/>
      <c r="BK116" s="23">
        <f t="shared" si="61"/>
        <v>0</v>
      </c>
      <c r="BL116" s="23">
        <f t="shared" si="62"/>
        <v>0</v>
      </c>
      <c r="BM116" s="23">
        <f t="shared" si="63"/>
        <v>0</v>
      </c>
      <c r="BN116" s="22"/>
      <c r="BO116" s="22"/>
      <c r="BP116" s="22"/>
      <c r="BQ116" s="20">
        <f t="shared" si="95"/>
        <v>0</v>
      </c>
      <c r="BR116" s="22"/>
      <c r="BS116" s="22"/>
      <c r="BT116" s="23">
        <f t="shared" si="64"/>
        <v>0</v>
      </c>
      <c r="BU116" s="23">
        <f t="shared" si="65"/>
        <v>0</v>
      </c>
      <c r="BV116" s="23">
        <f t="shared" si="66"/>
        <v>0</v>
      </c>
      <c r="BW116" s="22"/>
      <c r="BX116" s="22"/>
      <c r="BY116" s="22"/>
      <c r="BZ116" s="20">
        <f t="shared" si="96"/>
        <v>0</v>
      </c>
      <c r="CA116" s="22"/>
      <c r="CB116" s="22"/>
      <c r="CC116" s="23">
        <f t="shared" si="67"/>
        <v>0</v>
      </c>
      <c r="CD116" s="23">
        <f t="shared" si="68"/>
        <v>0</v>
      </c>
      <c r="CE116" s="23">
        <f t="shared" si="69"/>
        <v>0</v>
      </c>
      <c r="CF116" s="22"/>
      <c r="CG116" s="22"/>
      <c r="CH116" s="22"/>
      <c r="CI116" s="20">
        <f t="shared" si="97"/>
        <v>0</v>
      </c>
      <c r="CJ116" s="22"/>
      <c r="CK116" s="22"/>
      <c r="CL116" s="23">
        <f t="shared" si="70"/>
        <v>0</v>
      </c>
      <c r="CM116" s="23">
        <f t="shared" si="71"/>
        <v>0</v>
      </c>
      <c r="CN116" s="23">
        <f t="shared" si="72"/>
        <v>0</v>
      </c>
      <c r="CO116" s="22"/>
      <c r="CP116" s="22"/>
      <c r="CQ116" s="22"/>
      <c r="CR116" s="20">
        <f t="shared" si="98"/>
        <v>0</v>
      </c>
      <c r="CS116" s="22"/>
      <c r="CT116" s="22"/>
      <c r="CU116" s="23">
        <f t="shared" si="73"/>
        <v>0</v>
      </c>
      <c r="CV116" s="23">
        <f t="shared" si="74"/>
        <v>0</v>
      </c>
      <c r="CW116" s="23">
        <f t="shared" si="75"/>
        <v>0</v>
      </c>
      <c r="CX116" s="22"/>
      <c r="CY116" s="22"/>
      <c r="CZ116" s="22"/>
      <c r="DA116" s="20">
        <f t="shared" si="99"/>
        <v>0</v>
      </c>
      <c r="DB116" s="22"/>
      <c r="DC116" s="22"/>
      <c r="DD116" s="23">
        <f t="shared" si="76"/>
        <v>0</v>
      </c>
      <c r="DE116" s="23">
        <f t="shared" si="77"/>
        <v>0</v>
      </c>
      <c r="DF116" s="23">
        <f t="shared" si="78"/>
        <v>0</v>
      </c>
      <c r="DG116" s="22"/>
      <c r="DH116" s="22"/>
      <c r="DI116" s="22"/>
      <c r="DJ116" s="20">
        <f t="shared" si="100"/>
        <v>0</v>
      </c>
      <c r="DK116" s="22"/>
      <c r="DL116" s="22"/>
      <c r="DM116" s="23">
        <f t="shared" si="79"/>
        <v>0</v>
      </c>
      <c r="DN116" s="23">
        <f t="shared" si="80"/>
        <v>0</v>
      </c>
      <c r="DO116" s="23">
        <f t="shared" si="81"/>
        <v>0</v>
      </c>
      <c r="DP116" s="22"/>
      <c r="DQ116" s="22"/>
      <c r="DR116" s="22"/>
      <c r="DS116" s="20">
        <f t="shared" si="101"/>
        <v>0</v>
      </c>
      <c r="DT116" s="22"/>
      <c r="DU116" s="22"/>
      <c r="DV116" s="23">
        <f t="shared" si="82"/>
        <v>0</v>
      </c>
      <c r="DW116" s="23">
        <f t="shared" si="83"/>
        <v>0</v>
      </c>
      <c r="DX116" s="23">
        <f t="shared" si="84"/>
        <v>0</v>
      </c>
      <c r="DY116" s="22"/>
      <c r="DZ116" s="22"/>
      <c r="EA116" s="22"/>
      <c r="EB116" s="20">
        <f t="shared" si="102"/>
        <v>0</v>
      </c>
      <c r="EC116" s="22"/>
      <c r="ED116" s="22"/>
      <c r="EE116" s="23">
        <f t="shared" si="87"/>
        <v>0</v>
      </c>
      <c r="EF116" s="23">
        <f t="shared" si="85"/>
        <v>0</v>
      </c>
      <c r="EG116" s="23">
        <f t="shared" si="86"/>
        <v>0</v>
      </c>
      <c r="EH116" s="22"/>
      <c r="EI116" s="22"/>
      <c r="EJ116" s="22"/>
      <c r="EK116" s="22"/>
      <c r="EL116" s="22"/>
      <c r="EM116" s="22"/>
      <c r="EN116" s="22"/>
      <c r="EO116" s="22"/>
      <c r="EP116" s="22"/>
      <c r="EQ116" s="22"/>
      <c r="ER116" s="22"/>
      <c r="ES116" s="22"/>
      <c r="ET116" s="22"/>
      <c r="EU116" s="22"/>
      <c r="EV116" s="22"/>
    </row>
    <row r="117" spans="1:152" ht="32.25" hidden="1" customHeight="1" x14ac:dyDescent="0.2">
      <c r="A117" s="19"/>
      <c r="B117" s="20"/>
      <c r="C117" s="21"/>
      <c r="D117" s="21"/>
      <c r="E117" s="22"/>
      <c r="F117" s="20">
        <f t="shared" si="88"/>
        <v>0</v>
      </c>
      <c r="G117" s="22"/>
      <c r="H117" s="22"/>
      <c r="I117" s="23">
        <f t="shared" si="103"/>
        <v>0</v>
      </c>
      <c r="J117" s="23">
        <f t="shared" si="104"/>
        <v>0</v>
      </c>
      <c r="K117" s="23">
        <f t="shared" si="105"/>
        <v>0</v>
      </c>
      <c r="L117" s="22"/>
      <c r="M117" s="22"/>
      <c r="N117" s="22"/>
      <c r="O117" s="20">
        <f t="shared" si="89"/>
        <v>0</v>
      </c>
      <c r="P117" s="22"/>
      <c r="Q117" s="22"/>
      <c r="R117" s="23">
        <f t="shared" si="46"/>
        <v>0</v>
      </c>
      <c r="S117" s="23">
        <f t="shared" si="47"/>
        <v>0</v>
      </c>
      <c r="T117" s="23">
        <f t="shared" si="48"/>
        <v>0</v>
      </c>
      <c r="U117" s="22"/>
      <c r="V117" s="22"/>
      <c r="W117" s="22"/>
      <c r="X117" s="20">
        <f t="shared" si="90"/>
        <v>0</v>
      </c>
      <c r="Y117" s="22"/>
      <c r="Z117" s="22"/>
      <c r="AA117" s="23">
        <f t="shared" si="49"/>
        <v>0</v>
      </c>
      <c r="AB117" s="23">
        <f t="shared" si="50"/>
        <v>0</v>
      </c>
      <c r="AC117" s="23">
        <f t="shared" si="51"/>
        <v>0</v>
      </c>
      <c r="AD117" s="22"/>
      <c r="AE117" s="22"/>
      <c r="AF117" s="22"/>
      <c r="AG117" s="20">
        <f t="shared" si="91"/>
        <v>0</v>
      </c>
      <c r="AH117" s="22"/>
      <c r="AI117" s="22"/>
      <c r="AJ117" s="23">
        <f t="shared" si="52"/>
        <v>0</v>
      </c>
      <c r="AK117" s="23">
        <f t="shared" si="53"/>
        <v>0</v>
      </c>
      <c r="AL117" s="23">
        <f t="shared" si="54"/>
        <v>0</v>
      </c>
      <c r="AM117" s="22"/>
      <c r="AN117" s="22"/>
      <c r="AO117" s="22"/>
      <c r="AP117" s="20">
        <f t="shared" si="92"/>
        <v>0</v>
      </c>
      <c r="AQ117" s="22"/>
      <c r="AR117" s="22"/>
      <c r="AS117" s="23">
        <f t="shared" si="55"/>
        <v>0</v>
      </c>
      <c r="AT117" s="23">
        <f t="shared" si="56"/>
        <v>0</v>
      </c>
      <c r="AU117" s="23">
        <f t="shared" si="57"/>
        <v>0</v>
      </c>
      <c r="AV117" s="22"/>
      <c r="AW117" s="22"/>
      <c r="AX117" s="22"/>
      <c r="AY117" s="20">
        <f t="shared" si="93"/>
        <v>0</v>
      </c>
      <c r="AZ117" s="22"/>
      <c r="BA117" s="22"/>
      <c r="BB117" s="23">
        <f t="shared" si="58"/>
        <v>0</v>
      </c>
      <c r="BC117" s="23">
        <f t="shared" si="59"/>
        <v>0</v>
      </c>
      <c r="BD117" s="23">
        <f t="shared" si="60"/>
        <v>0</v>
      </c>
      <c r="BE117" s="22"/>
      <c r="BF117" s="22"/>
      <c r="BG117" s="22"/>
      <c r="BH117" s="20">
        <f t="shared" si="94"/>
        <v>0</v>
      </c>
      <c r="BI117" s="22"/>
      <c r="BJ117" s="22"/>
      <c r="BK117" s="23">
        <f t="shared" si="61"/>
        <v>0</v>
      </c>
      <c r="BL117" s="23">
        <f t="shared" si="62"/>
        <v>0</v>
      </c>
      <c r="BM117" s="23">
        <f t="shared" si="63"/>
        <v>0</v>
      </c>
      <c r="BN117" s="22"/>
      <c r="BO117" s="22"/>
      <c r="BP117" s="22"/>
      <c r="BQ117" s="20">
        <f t="shared" si="95"/>
        <v>0</v>
      </c>
      <c r="BR117" s="22"/>
      <c r="BS117" s="22"/>
      <c r="BT117" s="23">
        <f t="shared" si="64"/>
        <v>0</v>
      </c>
      <c r="BU117" s="23">
        <f t="shared" si="65"/>
        <v>0</v>
      </c>
      <c r="BV117" s="23">
        <f t="shared" si="66"/>
        <v>0</v>
      </c>
      <c r="BW117" s="22"/>
      <c r="BX117" s="22"/>
      <c r="BY117" s="22"/>
      <c r="BZ117" s="20">
        <f t="shared" si="96"/>
        <v>0</v>
      </c>
      <c r="CA117" s="22"/>
      <c r="CB117" s="22"/>
      <c r="CC117" s="23">
        <f t="shared" si="67"/>
        <v>0</v>
      </c>
      <c r="CD117" s="23">
        <f t="shared" si="68"/>
        <v>0</v>
      </c>
      <c r="CE117" s="23">
        <f t="shared" si="69"/>
        <v>0</v>
      </c>
      <c r="CF117" s="22"/>
      <c r="CG117" s="22"/>
      <c r="CH117" s="22"/>
      <c r="CI117" s="20">
        <f t="shared" si="97"/>
        <v>0</v>
      </c>
      <c r="CJ117" s="22"/>
      <c r="CK117" s="22"/>
      <c r="CL117" s="23">
        <f t="shared" si="70"/>
        <v>0</v>
      </c>
      <c r="CM117" s="23">
        <f t="shared" si="71"/>
        <v>0</v>
      </c>
      <c r="CN117" s="23">
        <f t="shared" si="72"/>
        <v>0</v>
      </c>
      <c r="CO117" s="22"/>
      <c r="CP117" s="22"/>
      <c r="CQ117" s="22"/>
      <c r="CR117" s="20">
        <f t="shared" si="98"/>
        <v>0</v>
      </c>
      <c r="CS117" s="22"/>
      <c r="CT117" s="22"/>
      <c r="CU117" s="23">
        <f t="shared" si="73"/>
        <v>0</v>
      </c>
      <c r="CV117" s="23">
        <f t="shared" si="74"/>
        <v>0</v>
      </c>
      <c r="CW117" s="23">
        <f t="shared" si="75"/>
        <v>0</v>
      </c>
      <c r="CX117" s="22"/>
      <c r="CY117" s="22"/>
      <c r="CZ117" s="22"/>
      <c r="DA117" s="20">
        <f t="shared" si="99"/>
        <v>0</v>
      </c>
      <c r="DB117" s="22"/>
      <c r="DC117" s="22"/>
      <c r="DD117" s="23">
        <f t="shared" si="76"/>
        <v>0</v>
      </c>
      <c r="DE117" s="23">
        <f t="shared" si="77"/>
        <v>0</v>
      </c>
      <c r="DF117" s="23">
        <f t="shared" si="78"/>
        <v>0</v>
      </c>
      <c r="DG117" s="22"/>
      <c r="DH117" s="22"/>
      <c r="DI117" s="22"/>
      <c r="DJ117" s="20">
        <f t="shared" si="100"/>
        <v>0</v>
      </c>
      <c r="DK117" s="22"/>
      <c r="DL117" s="22"/>
      <c r="DM117" s="23">
        <f t="shared" si="79"/>
        <v>0</v>
      </c>
      <c r="DN117" s="23">
        <f t="shared" si="80"/>
        <v>0</v>
      </c>
      <c r="DO117" s="23">
        <f t="shared" si="81"/>
        <v>0</v>
      </c>
      <c r="DP117" s="22"/>
      <c r="DQ117" s="22"/>
      <c r="DR117" s="22"/>
      <c r="DS117" s="20">
        <f t="shared" si="101"/>
        <v>0</v>
      </c>
      <c r="DT117" s="22"/>
      <c r="DU117" s="22"/>
      <c r="DV117" s="23">
        <f t="shared" si="82"/>
        <v>0</v>
      </c>
      <c r="DW117" s="23">
        <f t="shared" si="83"/>
        <v>0</v>
      </c>
      <c r="DX117" s="23">
        <f t="shared" si="84"/>
        <v>0</v>
      </c>
      <c r="DY117" s="22"/>
      <c r="DZ117" s="22"/>
      <c r="EA117" s="22"/>
      <c r="EB117" s="20">
        <f t="shared" si="102"/>
        <v>0</v>
      </c>
      <c r="EC117" s="22"/>
      <c r="ED117" s="22"/>
      <c r="EE117" s="23">
        <f t="shared" si="87"/>
        <v>0</v>
      </c>
      <c r="EF117" s="23">
        <f t="shared" si="85"/>
        <v>0</v>
      </c>
      <c r="EG117" s="23">
        <f t="shared" si="86"/>
        <v>0</v>
      </c>
      <c r="EH117" s="22"/>
      <c r="EI117" s="22"/>
      <c r="EJ117" s="22"/>
      <c r="EK117" s="22"/>
      <c r="EL117" s="22"/>
      <c r="EM117" s="22"/>
      <c r="EN117" s="22"/>
      <c r="EO117" s="22"/>
      <c r="EP117" s="22"/>
      <c r="EQ117" s="22"/>
      <c r="ER117" s="22"/>
      <c r="ES117" s="22"/>
      <c r="ET117" s="22"/>
      <c r="EU117" s="22"/>
      <c r="EV117" s="22"/>
    </row>
    <row r="118" spans="1:152" ht="39" hidden="1" customHeight="1" x14ac:dyDescent="0.2">
      <c r="A118" s="19"/>
      <c r="B118" s="20"/>
      <c r="C118" s="21"/>
      <c r="D118" s="21"/>
      <c r="E118" s="22"/>
      <c r="F118" s="20">
        <f t="shared" si="88"/>
        <v>0</v>
      </c>
      <c r="G118" s="22"/>
      <c r="H118" s="22"/>
      <c r="I118" s="23">
        <f t="shared" si="103"/>
        <v>0</v>
      </c>
      <c r="J118" s="23">
        <f t="shared" si="104"/>
        <v>0</v>
      </c>
      <c r="K118" s="23">
        <f t="shared" si="105"/>
        <v>0</v>
      </c>
      <c r="L118" s="22"/>
      <c r="M118" s="22"/>
      <c r="N118" s="22"/>
      <c r="O118" s="20">
        <f t="shared" si="89"/>
        <v>0</v>
      </c>
      <c r="P118" s="22"/>
      <c r="Q118" s="22"/>
      <c r="R118" s="23">
        <f t="shared" si="46"/>
        <v>0</v>
      </c>
      <c r="S118" s="23">
        <f t="shared" si="47"/>
        <v>0</v>
      </c>
      <c r="T118" s="23">
        <f t="shared" si="48"/>
        <v>0</v>
      </c>
      <c r="U118" s="22"/>
      <c r="V118" s="22"/>
      <c r="W118" s="22"/>
      <c r="X118" s="20">
        <f t="shared" si="90"/>
        <v>0</v>
      </c>
      <c r="Y118" s="22"/>
      <c r="Z118" s="22"/>
      <c r="AA118" s="23">
        <f t="shared" si="49"/>
        <v>0</v>
      </c>
      <c r="AB118" s="23">
        <f t="shared" si="50"/>
        <v>0</v>
      </c>
      <c r="AC118" s="23">
        <f t="shared" si="51"/>
        <v>0</v>
      </c>
      <c r="AD118" s="22"/>
      <c r="AE118" s="22"/>
      <c r="AF118" s="22"/>
      <c r="AG118" s="20">
        <f t="shared" si="91"/>
        <v>0</v>
      </c>
      <c r="AH118" s="22"/>
      <c r="AI118" s="22"/>
      <c r="AJ118" s="23">
        <f t="shared" si="52"/>
        <v>0</v>
      </c>
      <c r="AK118" s="23">
        <f t="shared" si="53"/>
        <v>0</v>
      </c>
      <c r="AL118" s="23">
        <f t="shared" si="54"/>
        <v>0</v>
      </c>
      <c r="AM118" s="22"/>
      <c r="AN118" s="22"/>
      <c r="AO118" s="22"/>
      <c r="AP118" s="20">
        <f t="shared" si="92"/>
        <v>0</v>
      </c>
      <c r="AQ118" s="22"/>
      <c r="AR118" s="22"/>
      <c r="AS118" s="23">
        <f t="shared" si="55"/>
        <v>0</v>
      </c>
      <c r="AT118" s="23">
        <f t="shared" si="56"/>
        <v>0</v>
      </c>
      <c r="AU118" s="23">
        <f t="shared" si="57"/>
        <v>0</v>
      </c>
      <c r="AV118" s="22"/>
      <c r="AW118" s="22"/>
      <c r="AX118" s="22"/>
      <c r="AY118" s="20">
        <f t="shared" si="93"/>
        <v>0</v>
      </c>
      <c r="AZ118" s="22"/>
      <c r="BA118" s="22"/>
      <c r="BB118" s="23">
        <f t="shared" si="58"/>
        <v>0</v>
      </c>
      <c r="BC118" s="23">
        <f t="shared" si="59"/>
        <v>0</v>
      </c>
      <c r="BD118" s="23">
        <f t="shared" si="60"/>
        <v>0</v>
      </c>
      <c r="BE118" s="22"/>
      <c r="BF118" s="22"/>
      <c r="BG118" s="22"/>
      <c r="BH118" s="20">
        <f t="shared" si="94"/>
        <v>0</v>
      </c>
      <c r="BI118" s="22"/>
      <c r="BJ118" s="22"/>
      <c r="BK118" s="23">
        <f t="shared" si="61"/>
        <v>0</v>
      </c>
      <c r="BL118" s="23">
        <f t="shared" si="62"/>
        <v>0</v>
      </c>
      <c r="BM118" s="23">
        <f t="shared" si="63"/>
        <v>0</v>
      </c>
      <c r="BN118" s="22"/>
      <c r="BO118" s="22"/>
      <c r="BP118" s="22"/>
      <c r="BQ118" s="20">
        <f t="shared" si="95"/>
        <v>0</v>
      </c>
      <c r="BR118" s="22"/>
      <c r="BS118" s="22"/>
      <c r="BT118" s="23">
        <f t="shared" si="64"/>
        <v>0</v>
      </c>
      <c r="BU118" s="23">
        <f t="shared" si="65"/>
        <v>0</v>
      </c>
      <c r="BV118" s="23">
        <f t="shared" si="66"/>
        <v>0</v>
      </c>
      <c r="BW118" s="22"/>
      <c r="BX118" s="22"/>
      <c r="BY118" s="22"/>
      <c r="BZ118" s="20">
        <f t="shared" si="96"/>
        <v>0</v>
      </c>
      <c r="CA118" s="22"/>
      <c r="CB118" s="22"/>
      <c r="CC118" s="23">
        <f t="shared" si="67"/>
        <v>0</v>
      </c>
      <c r="CD118" s="23">
        <f t="shared" si="68"/>
        <v>0</v>
      </c>
      <c r="CE118" s="23">
        <f t="shared" si="69"/>
        <v>0</v>
      </c>
      <c r="CF118" s="22"/>
      <c r="CG118" s="22"/>
      <c r="CH118" s="22"/>
      <c r="CI118" s="20">
        <f t="shared" si="97"/>
        <v>0</v>
      </c>
      <c r="CJ118" s="22"/>
      <c r="CK118" s="22"/>
      <c r="CL118" s="23">
        <f t="shared" si="70"/>
        <v>0</v>
      </c>
      <c r="CM118" s="23">
        <f t="shared" si="71"/>
        <v>0</v>
      </c>
      <c r="CN118" s="23">
        <f t="shared" si="72"/>
        <v>0</v>
      </c>
      <c r="CO118" s="22"/>
      <c r="CP118" s="22"/>
      <c r="CQ118" s="22"/>
      <c r="CR118" s="20">
        <f t="shared" si="98"/>
        <v>0</v>
      </c>
      <c r="CS118" s="22"/>
      <c r="CT118" s="22"/>
      <c r="CU118" s="23">
        <f t="shared" si="73"/>
        <v>0</v>
      </c>
      <c r="CV118" s="23">
        <f t="shared" si="74"/>
        <v>0</v>
      </c>
      <c r="CW118" s="23">
        <f t="shared" si="75"/>
        <v>0</v>
      </c>
      <c r="CX118" s="22"/>
      <c r="CY118" s="22"/>
      <c r="CZ118" s="22"/>
      <c r="DA118" s="20">
        <f t="shared" si="99"/>
        <v>0</v>
      </c>
      <c r="DB118" s="22"/>
      <c r="DC118" s="22"/>
      <c r="DD118" s="23">
        <f t="shared" si="76"/>
        <v>0</v>
      </c>
      <c r="DE118" s="23">
        <f t="shared" si="77"/>
        <v>0</v>
      </c>
      <c r="DF118" s="23">
        <f t="shared" si="78"/>
        <v>0</v>
      </c>
      <c r="DG118" s="22"/>
      <c r="DH118" s="22"/>
      <c r="DI118" s="22"/>
      <c r="DJ118" s="20">
        <f t="shared" si="100"/>
        <v>0</v>
      </c>
      <c r="DK118" s="22"/>
      <c r="DL118" s="22"/>
      <c r="DM118" s="23">
        <f t="shared" si="79"/>
        <v>0</v>
      </c>
      <c r="DN118" s="23">
        <f t="shared" si="80"/>
        <v>0</v>
      </c>
      <c r="DO118" s="23">
        <f t="shared" si="81"/>
        <v>0</v>
      </c>
      <c r="DP118" s="22"/>
      <c r="DQ118" s="22"/>
      <c r="DR118" s="22"/>
      <c r="DS118" s="20">
        <f t="shared" si="101"/>
        <v>0</v>
      </c>
      <c r="DT118" s="22"/>
      <c r="DU118" s="22"/>
      <c r="DV118" s="23">
        <f t="shared" si="82"/>
        <v>0</v>
      </c>
      <c r="DW118" s="23">
        <f t="shared" si="83"/>
        <v>0</v>
      </c>
      <c r="DX118" s="23">
        <f t="shared" si="84"/>
        <v>0</v>
      </c>
      <c r="DY118" s="22"/>
      <c r="DZ118" s="22"/>
      <c r="EA118" s="22"/>
      <c r="EB118" s="20">
        <f t="shared" si="102"/>
        <v>0</v>
      </c>
      <c r="EC118" s="22"/>
      <c r="ED118" s="22"/>
      <c r="EE118" s="23">
        <f t="shared" si="87"/>
        <v>0</v>
      </c>
      <c r="EF118" s="23">
        <f t="shared" si="85"/>
        <v>0</v>
      </c>
      <c r="EG118" s="23">
        <f t="shared" si="86"/>
        <v>0</v>
      </c>
      <c r="EH118" s="22"/>
      <c r="EI118" s="22"/>
      <c r="EJ118" s="22"/>
      <c r="EK118" s="22"/>
      <c r="EL118" s="22"/>
      <c r="EM118" s="22"/>
      <c r="EN118" s="22"/>
      <c r="EO118" s="22"/>
      <c r="EP118" s="22"/>
      <c r="EQ118" s="22"/>
      <c r="ER118" s="22"/>
      <c r="ES118" s="22"/>
      <c r="ET118" s="22"/>
      <c r="EU118" s="22"/>
      <c r="EV118" s="22"/>
    </row>
    <row r="119" spans="1:152" ht="31.5" hidden="1" customHeight="1" x14ac:dyDescent="0.2">
      <c r="A119" s="19"/>
      <c r="B119" s="20"/>
      <c r="C119" s="21"/>
      <c r="D119" s="21"/>
      <c r="E119" s="22"/>
      <c r="F119" s="20">
        <f t="shared" si="88"/>
        <v>0</v>
      </c>
      <c r="G119" s="22"/>
      <c r="H119" s="22"/>
      <c r="I119" s="23">
        <f t="shared" si="103"/>
        <v>0</v>
      </c>
      <c r="J119" s="23">
        <f t="shared" si="104"/>
        <v>0</v>
      </c>
      <c r="K119" s="23">
        <f t="shared" si="105"/>
        <v>0</v>
      </c>
      <c r="L119" s="22"/>
      <c r="M119" s="22"/>
      <c r="N119" s="22"/>
      <c r="O119" s="20">
        <f t="shared" si="89"/>
        <v>0</v>
      </c>
      <c r="P119" s="22"/>
      <c r="Q119" s="22"/>
      <c r="R119" s="23">
        <f t="shared" si="46"/>
        <v>0</v>
      </c>
      <c r="S119" s="23">
        <f t="shared" si="47"/>
        <v>0</v>
      </c>
      <c r="T119" s="23">
        <f t="shared" si="48"/>
        <v>0</v>
      </c>
      <c r="U119" s="22"/>
      <c r="V119" s="22"/>
      <c r="W119" s="22"/>
      <c r="X119" s="20">
        <f t="shared" si="90"/>
        <v>0</v>
      </c>
      <c r="Y119" s="22"/>
      <c r="Z119" s="22"/>
      <c r="AA119" s="23">
        <f t="shared" si="49"/>
        <v>0</v>
      </c>
      <c r="AB119" s="23">
        <f t="shared" si="50"/>
        <v>0</v>
      </c>
      <c r="AC119" s="23">
        <f t="shared" si="51"/>
        <v>0</v>
      </c>
      <c r="AD119" s="22"/>
      <c r="AE119" s="22"/>
      <c r="AF119" s="22"/>
      <c r="AG119" s="20">
        <f t="shared" si="91"/>
        <v>0</v>
      </c>
      <c r="AH119" s="22"/>
      <c r="AI119" s="22"/>
      <c r="AJ119" s="23">
        <f t="shared" si="52"/>
        <v>0</v>
      </c>
      <c r="AK119" s="23">
        <f t="shared" si="53"/>
        <v>0</v>
      </c>
      <c r="AL119" s="23">
        <f t="shared" si="54"/>
        <v>0</v>
      </c>
      <c r="AM119" s="22"/>
      <c r="AN119" s="22"/>
      <c r="AO119" s="22"/>
      <c r="AP119" s="20">
        <f t="shared" si="92"/>
        <v>0</v>
      </c>
      <c r="AQ119" s="22"/>
      <c r="AR119" s="22"/>
      <c r="AS119" s="23">
        <f t="shared" si="55"/>
        <v>0</v>
      </c>
      <c r="AT119" s="23">
        <f t="shared" si="56"/>
        <v>0</v>
      </c>
      <c r="AU119" s="23">
        <f t="shared" si="57"/>
        <v>0</v>
      </c>
      <c r="AV119" s="22"/>
      <c r="AW119" s="22"/>
      <c r="AX119" s="22"/>
      <c r="AY119" s="20">
        <f t="shared" si="93"/>
        <v>0</v>
      </c>
      <c r="AZ119" s="22"/>
      <c r="BA119" s="22"/>
      <c r="BB119" s="23">
        <f t="shared" si="58"/>
        <v>0</v>
      </c>
      <c r="BC119" s="23">
        <f t="shared" si="59"/>
        <v>0</v>
      </c>
      <c r="BD119" s="23">
        <f t="shared" si="60"/>
        <v>0</v>
      </c>
      <c r="BE119" s="22"/>
      <c r="BF119" s="22"/>
      <c r="BG119" s="22"/>
      <c r="BH119" s="20">
        <f t="shared" si="94"/>
        <v>0</v>
      </c>
      <c r="BI119" s="22"/>
      <c r="BJ119" s="22"/>
      <c r="BK119" s="23">
        <f t="shared" si="61"/>
        <v>0</v>
      </c>
      <c r="BL119" s="23">
        <f t="shared" si="62"/>
        <v>0</v>
      </c>
      <c r="BM119" s="23">
        <f t="shared" si="63"/>
        <v>0</v>
      </c>
      <c r="BN119" s="22"/>
      <c r="BO119" s="22"/>
      <c r="BP119" s="22"/>
      <c r="BQ119" s="20">
        <f t="shared" si="95"/>
        <v>0</v>
      </c>
      <c r="BR119" s="22"/>
      <c r="BS119" s="22"/>
      <c r="BT119" s="23">
        <f t="shared" si="64"/>
        <v>0</v>
      </c>
      <c r="BU119" s="23">
        <f t="shared" si="65"/>
        <v>0</v>
      </c>
      <c r="BV119" s="23">
        <f t="shared" si="66"/>
        <v>0</v>
      </c>
      <c r="BW119" s="22"/>
      <c r="BX119" s="22"/>
      <c r="BY119" s="22"/>
      <c r="BZ119" s="20">
        <f t="shared" si="96"/>
        <v>0</v>
      </c>
      <c r="CA119" s="22"/>
      <c r="CB119" s="22"/>
      <c r="CC119" s="23">
        <f t="shared" si="67"/>
        <v>0</v>
      </c>
      <c r="CD119" s="23">
        <f t="shared" si="68"/>
        <v>0</v>
      </c>
      <c r="CE119" s="23">
        <f t="shared" si="69"/>
        <v>0</v>
      </c>
      <c r="CF119" s="22"/>
      <c r="CG119" s="22"/>
      <c r="CH119" s="22"/>
      <c r="CI119" s="20">
        <f t="shared" si="97"/>
        <v>0</v>
      </c>
      <c r="CJ119" s="22"/>
      <c r="CK119" s="22"/>
      <c r="CL119" s="23">
        <f t="shared" si="70"/>
        <v>0</v>
      </c>
      <c r="CM119" s="23">
        <f t="shared" si="71"/>
        <v>0</v>
      </c>
      <c r="CN119" s="23">
        <f t="shared" si="72"/>
        <v>0</v>
      </c>
      <c r="CO119" s="22"/>
      <c r="CP119" s="22"/>
      <c r="CQ119" s="22"/>
      <c r="CR119" s="20">
        <f t="shared" si="98"/>
        <v>0</v>
      </c>
      <c r="CS119" s="22"/>
      <c r="CT119" s="22"/>
      <c r="CU119" s="23">
        <f t="shared" si="73"/>
        <v>0</v>
      </c>
      <c r="CV119" s="23">
        <f t="shared" si="74"/>
        <v>0</v>
      </c>
      <c r="CW119" s="23">
        <f t="shared" si="75"/>
        <v>0</v>
      </c>
      <c r="CX119" s="22"/>
      <c r="CY119" s="22"/>
      <c r="CZ119" s="22"/>
      <c r="DA119" s="20">
        <f t="shared" si="99"/>
        <v>0</v>
      </c>
      <c r="DB119" s="22"/>
      <c r="DC119" s="22"/>
      <c r="DD119" s="23">
        <f t="shared" si="76"/>
        <v>0</v>
      </c>
      <c r="DE119" s="23">
        <f t="shared" si="77"/>
        <v>0</v>
      </c>
      <c r="DF119" s="23">
        <f t="shared" si="78"/>
        <v>0</v>
      </c>
      <c r="DG119" s="22"/>
      <c r="DH119" s="22"/>
      <c r="DI119" s="22"/>
      <c r="DJ119" s="20">
        <f t="shared" si="100"/>
        <v>0</v>
      </c>
      <c r="DK119" s="22"/>
      <c r="DL119" s="22"/>
      <c r="DM119" s="23">
        <f t="shared" si="79"/>
        <v>0</v>
      </c>
      <c r="DN119" s="23">
        <f t="shared" si="80"/>
        <v>0</v>
      </c>
      <c r="DO119" s="23">
        <f t="shared" si="81"/>
        <v>0</v>
      </c>
      <c r="DP119" s="22"/>
      <c r="DQ119" s="22"/>
      <c r="DR119" s="22"/>
      <c r="DS119" s="20">
        <f t="shared" si="101"/>
        <v>0</v>
      </c>
      <c r="DT119" s="22"/>
      <c r="DU119" s="22"/>
      <c r="DV119" s="23">
        <f t="shared" si="82"/>
        <v>0</v>
      </c>
      <c r="DW119" s="23">
        <f t="shared" si="83"/>
        <v>0</v>
      </c>
      <c r="DX119" s="23">
        <f t="shared" si="84"/>
        <v>0</v>
      </c>
      <c r="DY119" s="22"/>
      <c r="DZ119" s="22"/>
      <c r="EA119" s="22"/>
      <c r="EB119" s="20">
        <f t="shared" si="102"/>
        <v>0</v>
      </c>
      <c r="EC119" s="22"/>
      <c r="ED119" s="22"/>
      <c r="EE119" s="23">
        <f t="shared" si="87"/>
        <v>0</v>
      </c>
      <c r="EF119" s="23">
        <f t="shared" si="85"/>
        <v>0</v>
      </c>
      <c r="EG119" s="23">
        <f t="shared" si="86"/>
        <v>0</v>
      </c>
      <c r="EH119" s="22"/>
      <c r="EI119" s="22"/>
      <c r="EJ119" s="22"/>
      <c r="EK119" s="22"/>
      <c r="EL119" s="22"/>
      <c r="EM119" s="22"/>
      <c r="EN119" s="22"/>
      <c r="EO119" s="22"/>
      <c r="EP119" s="22"/>
      <c r="EQ119" s="22"/>
      <c r="ER119" s="22"/>
      <c r="ES119" s="22"/>
      <c r="ET119" s="22"/>
      <c r="EU119" s="22"/>
      <c r="EV119" s="22"/>
    </row>
    <row r="120" spans="1:152" ht="31.5" hidden="1" customHeight="1" x14ac:dyDescent="0.2">
      <c r="A120" s="19"/>
      <c r="B120" s="20"/>
      <c r="C120" s="21"/>
      <c r="D120" s="21"/>
      <c r="E120" s="22"/>
      <c r="F120" s="20">
        <f t="shared" si="88"/>
        <v>0</v>
      </c>
      <c r="G120" s="22"/>
      <c r="H120" s="22"/>
      <c r="I120" s="23">
        <f t="shared" si="103"/>
        <v>0</v>
      </c>
      <c r="J120" s="23">
        <f t="shared" si="104"/>
        <v>0</v>
      </c>
      <c r="K120" s="23">
        <f t="shared" si="105"/>
        <v>0</v>
      </c>
      <c r="L120" s="22"/>
      <c r="M120" s="22"/>
      <c r="N120" s="22"/>
      <c r="O120" s="20">
        <f t="shared" si="89"/>
        <v>0</v>
      </c>
      <c r="P120" s="22"/>
      <c r="Q120" s="22"/>
      <c r="R120" s="23">
        <f t="shared" si="46"/>
        <v>0</v>
      </c>
      <c r="S120" s="23">
        <f t="shared" si="47"/>
        <v>0</v>
      </c>
      <c r="T120" s="23">
        <f t="shared" si="48"/>
        <v>0</v>
      </c>
      <c r="U120" s="22"/>
      <c r="V120" s="22"/>
      <c r="W120" s="22"/>
      <c r="X120" s="20">
        <f t="shared" si="90"/>
        <v>0</v>
      </c>
      <c r="Y120" s="22"/>
      <c r="Z120" s="22"/>
      <c r="AA120" s="23">
        <f t="shared" si="49"/>
        <v>0</v>
      </c>
      <c r="AB120" s="23">
        <f t="shared" si="50"/>
        <v>0</v>
      </c>
      <c r="AC120" s="23">
        <f t="shared" si="51"/>
        <v>0</v>
      </c>
      <c r="AD120" s="22"/>
      <c r="AE120" s="22"/>
      <c r="AF120" s="22"/>
      <c r="AG120" s="20">
        <f t="shared" si="91"/>
        <v>0</v>
      </c>
      <c r="AH120" s="22"/>
      <c r="AI120" s="22"/>
      <c r="AJ120" s="23">
        <f t="shared" si="52"/>
        <v>0</v>
      </c>
      <c r="AK120" s="23">
        <f t="shared" si="53"/>
        <v>0</v>
      </c>
      <c r="AL120" s="23">
        <f t="shared" si="54"/>
        <v>0</v>
      </c>
      <c r="AM120" s="22"/>
      <c r="AN120" s="22"/>
      <c r="AO120" s="22"/>
      <c r="AP120" s="20">
        <f t="shared" si="92"/>
        <v>0</v>
      </c>
      <c r="AQ120" s="22"/>
      <c r="AR120" s="22"/>
      <c r="AS120" s="23">
        <f t="shared" si="55"/>
        <v>0</v>
      </c>
      <c r="AT120" s="23">
        <f t="shared" si="56"/>
        <v>0</v>
      </c>
      <c r="AU120" s="23">
        <f t="shared" si="57"/>
        <v>0</v>
      </c>
      <c r="AV120" s="22"/>
      <c r="AW120" s="22"/>
      <c r="AX120" s="22"/>
      <c r="AY120" s="20">
        <f t="shared" si="93"/>
        <v>0</v>
      </c>
      <c r="AZ120" s="22"/>
      <c r="BA120" s="22"/>
      <c r="BB120" s="23">
        <f t="shared" si="58"/>
        <v>0</v>
      </c>
      <c r="BC120" s="23">
        <f t="shared" si="59"/>
        <v>0</v>
      </c>
      <c r="BD120" s="23">
        <f t="shared" si="60"/>
        <v>0</v>
      </c>
      <c r="BE120" s="22"/>
      <c r="BF120" s="22"/>
      <c r="BG120" s="22"/>
      <c r="BH120" s="20">
        <f t="shared" si="94"/>
        <v>0</v>
      </c>
      <c r="BI120" s="22"/>
      <c r="BJ120" s="22"/>
      <c r="BK120" s="23">
        <f t="shared" si="61"/>
        <v>0</v>
      </c>
      <c r="BL120" s="23">
        <f t="shared" si="62"/>
        <v>0</v>
      </c>
      <c r="BM120" s="23">
        <f t="shared" si="63"/>
        <v>0</v>
      </c>
      <c r="BN120" s="22"/>
      <c r="BO120" s="22"/>
      <c r="BP120" s="22"/>
      <c r="BQ120" s="20">
        <f t="shared" si="95"/>
        <v>0</v>
      </c>
      <c r="BR120" s="22"/>
      <c r="BS120" s="22"/>
      <c r="BT120" s="23">
        <f t="shared" si="64"/>
        <v>0</v>
      </c>
      <c r="BU120" s="23">
        <f t="shared" si="65"/>
        <v>0</v>
      </c>
      <c r="BV120" s="23">
        <f t="shared" si="66"/>
        <v>0</v>
      </c>
      <c r="BW120" s="22"/>
      <c r="BX120" s="22"/>
      <c r="BY120" s="22"/>
      <c r="BZ120" s="20">
        <f t="shared" si="96"/>
        <v>0</v>
      </c>
      <c r="CA120" s="22"/>
      <c r="CB120" s="22"/>
      <c r="CC120" s="23">
        <f t="shared" si="67"/>
        <v>0</v>
      </c>
      <c r="CD120" s="23">
        <f t="shared" si="68"/>
        <v>0</v>
      </c>
      <c r="CE120" s="23">
        <f t="shared" si="69"/>
        <v>0</v>
      </c>
      <c r="CF120" s="22"/>
      <c r="CG120" s="22"/>
      <c r="CH120" s="22"/>
      <c r="CI120" s="20">
        <f t="shared" si="97"/>
        <v>0</v>
      </c>
      <c r="CJ120" s="22"/>
      <c r="CK120" s="22"/>
      <c r="CL120" s="23">
        <f t="shared" si="70"/>
        <v>0</v>
      </c>
      <c r="CM120" s="23">
        <f t="shared" si="71"/>
        <v>0</v>
      </c>
      <c r="CN120" s="23">
        <f t="shared" si="72"/>
        <v>0</v>
      </c>
      <c r="CO120" s="22"/>
      <c r="CP120" s="22"/>
      <c r="CQ120" s="22"/>
      <c r="CR120" s="20">
        <f t="shared" si="98"/>
        <v>0</v>
      </c>
      <c r="CS120" s="22"/>
      <c r="CT120" s="22"/>
      <c r="CU120" s="23">
        <f t="shared" si="73"/>
        <v>0</v>
      </c>
      <c r="CV120" s="23">
        <f t="shared" si="74"/>
        <v>0</v>
      </c>
      <c r="CW120" s="23">
        <f t="shared" si="75"/>
        <v>0</v>
      </c>
      <c r="CX120" s="22"/>
      <c r="CY120" s="22"/>
      <c r="CZ120" s="22"/>
      <c r="DA120" s="20">
        <f t="shared" si="99"/>
        <v>0</v>
      </c>
      <c r="DB120" s="22"/>
      <c r="DC120" s="22"/>
      <c r="DD120" s="23">
        <f t="shared" si="76"/>
        <v>0</v>
      </c>
      <c r="DE120" s="23">
        <f t="shared" si="77"/>
        <v>0</v>
      </c>
      <c r="DF120" s="23">
        <f t="shared" si="78"/>
        <v>0</v>
      </c>
      <c r="DG120" s="22"/>
      <c r="DH120" s="22"/>
      <c r="DI120" s="22"/>
      <c r="DJ120" s="20">
        <f t="shared" si="100"/>
        <v>0</v>
      </c>
      <c r="DK120" s="22"/>
      <c r="DL120" s="22"/>
      <c r="DM120" s="23">
        <f t="shared" si="79"/>
        <v>0</v>
      </c>
      <c r="DN120" s="23">
        <f t="shared" si="80"/>
        <v>0</v>
      </c>
      <c r="DO120" s="23">
        <f t="shared" si="81"/>
        <v>0</v>
      </c>
      <c r="DP120" s="22"/>
      <c r="DQ120" s="22"/>
      <c r="DR120" s="22"/>
      <c r="DS120" s="20">
        <f t="shared" si="101"/>
        <v>0</v>
      </c>
      <c r="DT120" s="22"/>
      <c r="DU120" s="22"/>
      <c r="DV120" s="23">
        <f t="shared" si="82"/>
        <v>0</v>
      </c>
      <c r="DW120" s="23">
        <f t="shared" si="83"/>
        <v>0</v>
      </c>
      <c r="DX120" s="23">
        <f t="shared" si="84"/>
        <v>0</v>
      </c>
      <c r="DY120" s="22"/>
      <c r="DZ120" s="22"/>
      <c r="EA120" s="22"/>
      <c r="EB120" s="20">
        <f t="shared" si="102"/>
        <v>0</v>
      </c>
      <c r="EC120" s="22"/>
      <c r="ED120" s="22"/>
      <c r="EE120" s="23">
        <f t="shared" si="87"/>
        <v>0</v>
      </c>
      <c r="EF120" s="23">
        <f t="shared" si="85"/>
        <v>0</v>
      </c>
      <c r="EG120" s="23">
        <f t="shared" si="86"/>
        <v>0</v>
      </c>
      <c r="EH120" s="22"/>
      <c r="EI120" s="22"/>
      <c r="EJ120" s="22"/>
      <c r="EK120" s="22"/>
      <c r="EL120" s="22"/>
      <c r="EM120" s="22"/>
      <c r="EN120" s="22"/>
      <c r="EO120" s="22"/>
      <c r="EP120" s="22"/>
      <c r="EQ120" s="22"/>
      <c r="ER120" s="22"/>
      <c r="ES120" s="22"/>
      <c r="ET120" s="22"/>
      <c r="EU120" s="22"/>
      <c r="EV120" s="22"/>
    </row>
    <row r="121" spans="1:152" ht="28.5" hidden="1" customHeight="1" x14ac:dyDescent="0.2">
      <c r="A121" s="19"/>
      <c r="B121" s="20"/>
      <c r="C121" s="21"/>
      <c r="D121" s="21"/>
      <c r="E121" s="22"/>
      <c r="F121" s="20">
        <f t="shared" si="88"/>
        <v>0</v>
      </c>
      <c r="G121" s="22"/>
      <c r="H121" s="22"/>
      <c r="I121" s="23">
        <f t="shared" si="103"/>
        <v>0</v>
      </c>
      <c r="J121" s="23">
        <f t="shared" si="104"/>
        <v>0</v>
      </c>
      <c r="K121" s="23">
        <f t="shared" si="105"/>
        <v>0</v>
      </c>
      <c r="L121" s="22"/>
      <c r="M121" s="22"/>
      <c r="N121" s="22"/>
      <c r="O121" s="20">
        <f t="shared" si="89"/>
        <v>0</v>
      </c>
      <c r="P121" s="22"/>
      <c r="Q121" s="22"/>
      <c r="R121" s="23">
        <f t="shared" si="46"/>
        <v>0</v>
      </c>
      <c r="S121" s="23">
        <f t="shared" si="47"/>
        <v>0</v>
      </c>
      <c r="T121" s="23">
        <f t="shared" si="48"/>
        <v>0</v>
      </c>
      <c r="U121" s="22"/>
      <c r="V121" s="22"/>
      <c r="W121" s="22"/>
      <c r="X121" s="20">
        <f t="shared" si="90"/>
        <v>0</v>
      </c>
      <c r="Y121" s="22"/>
      <c r="Z121" s="22"/>
      <c r="AA121" s="23">
        <f t="shared" si="49"/>
        <v>0</v>
      </c>
      <c r="AB121" s="23">
        <f t="shared" si="50"/>
        <v>0</v>
      </c>
      <c r="AC121" s="23">
        <f t="shared" si="51"/>
        <v>0</v>
      </c>
      <c r="AD121" s="22"/>
      <c r="AE121" s="22"/>
      <c r="AF121" s="22"/>
      <c r="AG121" s="20">
        <f t="shared" si="91"/>
        <v>0</v>
      </c>
      <c r="AH121" s="22"/>
      <c r="AI121" s="22"/>
      <c r="AJ121" s="23">
        <f t="shared" si="52"/>
        <v>0</v>
      </c>
      <c r="AK121" s="23">
        <f t="shared" si="53"/>
        <v>0</v>
      </c>
      <c r="AL121" s="23">
        <f t="shared" si="54"/>
        <v>0</v>
      </c>
      <c r="AM121" s="22"/>
      <c r="AN121" s="22"/>
      <c r="AO121" s="22"/>
      <c r="AP121" s="20">
        <f t="shared" si="92"/>
        <v>0</v>
      </c>
      <c r="AQ121" s="22"/>
      <c r="AR121" s="22"/>
      <c r="AS121" s="23">
        <f t="shared" si="55"/>
        <v>0</v>
      </c>
      <c r="AT121" s="23">
        <f t="shared" si="56"/>
        <v>0</v>
      </c>
      <c r="AU121" s="23">
        <f t="shared" si="57"/>
        <v>0</v>
      </c>
      <c r="AV121" s="22"/>
      <c r="AW121" s="22"/>
      <c r="AX121" s="22"/>
      <c r="AY121" s="20">
        <f t="shared" si="93"/>
        <v>0</v>
      </c>
      <c r="AZ121" s="22"/>
      <c r="BA121" s="22"/>
      <c r="BB121" s="23">
        <f t="shared" si="58"/>
        <v>0</v>
      </c>
      <c r="BC121" s="23">
        <f t="shared" si="59"/>
        <v>0</v>
      </c>
      <c r="BD121" s="23">
        <f t="shared" si="60"/>
        <v>0</v>
      </c>
      <c r="BE121" s="22"/>
      <c r="BF121" s="22"/>
      <c r="BG121" s="22"/>
      <c r="BH121" s="20">
        <f t="shared" si="94"/>
        <v>0</v>
      </c>
      <c r="BI121" s="22"/>
      <c r="BJ121" s="22"/>
      <c r="BK121" s="23">
        <f t="shared" si="61"/>
        <v>0</v>
      </c>
      <c r="BL121" s="23">
        <f t="shared" si="62"/>
        <v>0</v>
      </c>
      <c r="BM121" s="23">
        <f t="shared" si="63"/>
        <v>0</v>
      </c>
      <c r="BN121" s="22"/>
      <c r="BO121" s="22"/>
      <c r="BP121" s="22"/>
      <c r="BQ121" s="20">
        <f t="shared" si="95"/>
        <v>0</v>
      </c>
      <c r="BR121" s="22"/>
      <c r="BS121" s="22"/>
      <c r="BT121" s="23">
        <f t="shared" si="64"/>
        <v>0</v>
      </c>
      <c r="BU121" s="23">
        <f t="shared" si="65"/>
        <v>0</v>
      </c>
      <c r="BV121" s="23">
        <f t="shared" si="66"/>
        <v>0</v>
      </c>
      <c r="BW121" s="22"/>
      <c r="BX121" s="22"/>
      <c r="BY121" s="22"/>
      <c r="BZ121" s="20">
        <f t="shared" si="96"/>
        <v>0</v>
      </c>
      <c r="CA121" s="22"/>
      <c r="CB121" s="22"/>
      <c r="CC121" s="23">
        <f t="shared" si="67"/>
        <v>0</v>
      </c>
      <c r="CD121" s="23">
        <f t="shared" si="68"/>
        <v>0</v>
      </c>
      <c r="CE121" s="23">
        <f t="shared" si="69"/>
        <v>0</v>
      </c>
      <c r="CF121" s="22"/>
      <c r="CG121" s="22"/>
      <c r="CH121" s="22"/>
      <c r="CI121" s="20">
        <f t="shared" si="97"/>
        <v>0</v>
      </c>
      <c r="CJ121" s="22"/>
      <c r="CK121" s="22"/>
      <c r="CL121" s="23">
        <f t="shared" si="70"/>
        <v>0</v>
      </c>
      <c r="CM121" s="23">
        <f t="shared" si="71"/>
        <v>0</v>
      </c>
      <c r="CN121" s="23">
        <f t="shared" si="72"/>
        <v>0</v>
      </c>
      <c r="CO121" s="22"/>
      <c r="CP121" s="22"/>
      <c r="CQ121" s="22"/>
      <c r="CR121" s="20">
        <f t="shared" si="98"/>
        <v>0</v>
      </c>
      <c r="CS121" s="22"/>
      <c r="CT121" s="22"/>
      <c r="CU121" s="23">
        <f t="shared" si="73"/>
        <v>0</v>
      </c>
      <c r="CV121" s="23">
        <f t="shared" si="74"/>
        <v>0</v>
      </c>
      <c r="CW121" s="23">
        <f t="shared" si="75"/>
        <v>0</v>
      </c>
      <c r="CX121" s="22"/>
      <c r="CY121" s="22"/>
      <c r="CZ121" s="22"/>
      <c r="DA121" s="20">
        <f t="shared" si="99"/>
        <v>0</v>
      </c>
      <c r="DB121" s="22"/>
      <c r="DC121" s="22"/>
      <c r="DD121" s="23">
        <f t="shared" si="76"/>
        <v>0</v>
      </c>
      <c r="DE121" s="23">
        <f t="shared" si="77"/>
        <v>0</v>
      </c>
      <c r="DF121" s="23">
        <f t="shared" si="78"/>
        <v>0</v>
      </c>
      <c r="DG121" s="22"/>
      <c r="DH121" s="22"/>
      <c r="DI121" s="22"/>
      <c r="DJ121" s="20">
        <f t="shared" si="100"/>
        <v>0</v>
      </c>
      <c r="DK121" s="22"/>
      <c r="DL121" s="22"/>
      <c r="DM121" s="23">
        <f t="shared" si="79"/>
        <v>0</v>
      </c>
      <c r="DN121" s="23">
        <f t="shared" si="80"/>
        <v>0</v>
      </c>
      <c r="DO121" s="23">
        <f t="shared" si="81"/>
        <v>0</v>
      </c>
      <c r="DP121" s="22"/>
      <c r="DQ121" s="22"/>
      <c r="DR121" s="22"/>
      <c r="DS121" s="20">
        <f t="shared" si="101"/>
        <v>0</v>
      </c>
      <c r="DT121" s="22"/>
      <c r="DU121" s="22"/>
      <c r="DV121" s="23">
        <f t="shared" si="82"/>
        <v>0</v>
      </c>
      <c r="DW121" s="23">
        <f t="shared" si="83"/>
        <v>0</v>
      </c>
      <c r="DX121" s="23">
        <f t="shared" si="84"/>
        <v>0</v>
      </c>
      <c r="DY121" s="22"/>
      <c r="DZ121" s="22"/>
      <c r="EA121" s="22"/>
      <c r="EB121" s="20">
        <f t="shared" si="102"/>
        <v>0</v>
      </c>
      <c r="EC121" s="22"/>
      <c r="ED121" s="22"/>
      <c r="EE121" s="23">
        <f t="shared" si="87"/>
        <v>0</v>
      </c>
      <c r="EF121" s="23">
        <f t="shared" si="85"/>
        <v>0</v>
      </c>
      <c r="EG121" s="23">
        <f t="shared" si="86"/>
        <v>0</v>
      </c>
      <c r="EH121" s="22"/>
      <c r="EI121" s="22"/>
      <c r="EJ121" s="22"/>
      <c r="EK121" s="22"/>
      <c r="EL121" s="22"/>
      <c r="EM121" s="22"/>
      <c r="EN121" s="22"/>
      <c r="EO121" s="22"/>
      <c r="EP121" s="22"/>
      <c r="EQ121" s="22"/>
      <c r="ER121" s="22"/>
      <c r="ES121" s="22"/>
      <c r="ET121" s="22"/>
      <c r="EU121" s="22"/>
      <c r="EV121" s="22"/>
    </row>
    <row r="122" spans="1:152" ht="29.25" hidden="1" customHeight="1" x14ac:dyDescent="0.2">
      <c r="A122" s="19"/>
      <c r="B122" s="20"/>
      <c r="C122" s="21"/>
      <c r="D122" s="21"/>
      <c r="E122" s="22"/>
      <c r="F122" s="20">
        <f t="shared" si="88"/>
        <v>0</v>
      </c>
      <c r="G122" s="22"/>
      <c r="H122" s="22"/>
      <c r="I122" s="23">
        <f t="shared" si="103"/>
        <v>0</v>
      </c>
      <c r="J122" s="23">
        <f t="shared" si="104"/>
        <v>0</v>
      </c>
      <c r="K122" s="23">
        <f t="shared" si="105"/>
        <v>0</v>
      </c>
      <c r="L122" s="22"/>
      <c r="M122" s="22"/>
      <c r="N122" s="22"/>
      <c r="O122" s="20">
        <f t="shared" si="89"/>
        <v>0</v>
      </c>
      <c r="P122" s="22"/>
      <c r="Q122" s="22"/>
      <c r="R122" s="23">
        <f t="shared" si="46"/>
        <v>0</v>
      </c>
      <c r="S122" s="23">
        <f t="shared" si="47"/>
        <v>0</v>
      </c>
      <c r="T122" s="23">
        <f t="shared" si="48"/>
        <v>0</v>
      </c>
      <c r="U122" s="22"/>
      <c r="V122" s="22"/>
      <c r="W122" s="22"/>
      <c r="X122" s="20">
        <f t="shared" si="90"/>
        <v>0</v>
      </c>
      <c r="Y122" s="22"/>
      <c r="Z122" s="22"/>
      <c r="AA122" s="23">
        <f t="shared" si="49"/>
        <v>0</v>
      </c>
      <c r="AB122" s="23">
        <f t="shared" si="50"/>
        <v>0</v>
      </c>
      <c r="AC122" s="23">
        <f t="shared" si="51"/>
        <v>0</v>
      </c>
      <c r="AD122" s="22"/>
      <c r="AE122" s="22"/>
      <c r="AF122" s="22"/>
      <c r="AG122" s="20">
        <f t="shared" si="91"/>
        <v>0</v>
      </c>
      <c r="AH122" s="22"/>
      <c r="AI122" s="22"/>
      <c r="AJ122" s="23">
        <f t="shared" si="52"/>
        <v>0</v>
      </c>
      <c r="AK122" s="23">
        <f t="shared" si="53"/>
        <v>0</v>
      </c>
      <c r="AL122" s="23">
        <f t="shared" si="54"/>
        <v>0</v>
      </c>
      <c r="AM122" s="22"/>
      <c r="AN122" s="22"/>
      <c r="AO122" s="22"/>
      <c r="AP122" s="20">
        <f t="shared" si="92"/>
        <v>0</v>
      </c>
      <c r="AQ122" s="22"/>
      <c r="AR122" s="22"/>
      <c r="AS122" s="23">
        <f t="shared" si="55"/>
        <v>0</v>
      </c>
      <c r="AT122" s="23">
        <f t="shared" si="56"/>
        <v>0</v>
      </c>
      <c r="AU122" s="23">
        <f t="shared" si="57"/>
        <v>0</v>
      </c>
      <c r="AV122" s="22"/>
      <c r="AW122" s="22"/>
      <c r="AX122" s="22"/>
      <c r="AY122" s="20">
        <f t="shared" si="93"/>
        <v>0</v>
      </c>
      <c r="AZ122" s="22"/>
      <c r="BA122" s="22"/>
      <c r="BB122" s="23">
        <f t="shared" si="58"/>
        <v>0</v>
      </c>
      <c r="BC122" s="23">
        <f t="shared" si="59"/>
        <v>0</v>
      </c>
      <c r="BD122" s="23">
        <f t="shared" si="60"/>
        <v>0</v>
      </c>
      <c r="BE122" s="22"/>
      <c r="BF122" s="22"/>
      <c r="BG122" s="22"/>
      <c r="BH122" s="20">
        <f t="shared" si="94"/>
        <v>0</v>
      </c>
      <c r="BI122" s="22"/>
      <c r="BJ122" s="22"/>
      <c r="BK122" s="23">
        <f t="shared" si="61"/>
        <v>0</v>
      </c>
      <c r="BL122" s="23">
        <f t="shared" si="62"/>
        <v>0</v>
      </c>
      <c r="BM122" s="23">
        <f t="shared" si="63"/>
        <v>0</v>
      </c>
      <c r="BN122" s="22"/>
      <c r="BO122" s="22"/>
      <c r="BP122" s="22"/>
      <c r="BQ122" s="20">
        <f t="shared" si="95"/>
        <v>0</v>
      </c>
      <c r="BR122" s="22"/>
      <c r="BS122" s="22"/>
      <c r="BT122" s="23">
        <f t="shared" si="64"/>
        <v>0</v>
      </c>
      <c r="BU122" s="23">
        <f t="shared" si="65"/>
        <v>0</v>
      </c>
      <c r="BV122" s="23">
        <f t="shared" si="66"/>
        <v>0</v>
      </c>
      <c r="BW122" s="22"/>
      <c r="BX122" s="22"/>
      <c r="BY122" s="22"/>
      <c r="BZ122" s="20">
        <f t="shared" si="96"/>
        <v>0</v>
      </c>
      <c r="CA122" s="22"/>
      <c r="CB122" s="22"/>
      <c r="CC122" s="23">
        <f t="shared" si="67"/>
        <v>0</v>
      </c>
      <c r="CD122" s="23">
        <f t="shared" si="68"/>
        <v>0</v>
      </c>
      <c r="CE122" s="23">
        <f t="shared" si="69"/>
        <v>0</v>
      </c>
      <c r="CF122" s="22"/>
      <c r="CG122" s="22"/>
      <c r="CH122" s="22"/>
      <c r="CI122" s="20">
        <f t="shared" si="97"/>
        <v>0</v>
      </c>
      <c r="CJ122" s="22"/>
      <c r="CK122" s="22"/>
      <c r="CL122" s="23">
        <f t="shared" si="70"/>
        <v>0</v>
      </c>
      <c r="CM122" s="23">
        <f t="shared" si="71"/>
        <v>0</v>
      </c>
      <c r="CN122" s="23">
        <f t="shared" si="72"/>
        <v>0</v>
      </c>
      <c r="CO122" s="22"/>
      <c r="CP122" s="22"/>
      <c r="CQ122" s="22"/>
      <c r="CR122" s="20">
        <f t="shared" si="98"/>
        <v>0</v>
      </c>
      <c r="CS122" s="22"/>
      <c r="CT122" s="22"/>
      <c r="CU122" s="23">
        <f t="shared" si="73"/>
        <v>0</v>
      </c>
      <c r="CV122" s="23">
        <f t="shared" si="74"/>
        <v>0</v>
      </c>
      <c r="CW122" s="23">
        <f t="shared" si="75"/>
        <v>0</v>
      </c>
      <c r="CX122" s="22"/>
      <c r="CY122" s="22"/>
      <c r="CZ122" s="22"/>
      <c r="DA122" s="20">
        <f t="shared" si="99"/>
        <v>0</v>
      </c>
      <c r="DB122" s="22"/>
      <c r="DC122" s="22"/>
      <c r="DD122" s="23">
        <f t="shared" si="76"/>
        <v>0</v>
      </c>
      <c r="DE122" s="23">
        <f t="shared" si="77"/>
        <v>0</v>
      </c>
      <c r="DF122" s="23">
        <f t="shared" si="78"/>
        <v>0</v>
      </c>
      <c r="DG122" s="22"/>
      <c r="DH122" s="22"/>
      <c r="DI122" s="22"/>
      <c r="DJ122" s="20">
        <f t="shared" si="100"/>
        <v>0</v>
      </c>
      <c r="DK122" s="22"/>
      <c r="DL122" s="22"/>
      <c r="DM122" s="23">
        <f t="shared" si="79"/>
        <v>0</v>
      </c>
      <c r="DN122" s="23">
        <f t="shared" si="80"/>
        <v>0</v>
      </c>
      <c r="DO122" s="23">
        <f t="shared" si="81"/>
        <v>0</v>
      </c>
      <c r="DP122" s="22"/>
      <c r="DQ122" s="22"/>
      <c r="DR122" s="22"/>
      <c r="DS122" s="20">
        <f t="shared" si="101"/>
        <v>0</v>
      </c>
      <c r="DT122" s="22"/>
      <c r="DU122" s="22"/>
      <c r="DV122" s="23">
        <f t="shared" si="82"/>
        <v>0</v>
      </c>
      <c r="DW122" s="23">
        <f t="shared" si="83"/>
        <v>0</v>
      </c>
      <c r="DX122" s="23">
        <f t="shared" si="84"/>
        <v>0</v>
      </c>
      <c r="DY122" s="22"/>
      <c r="DZ122" s="22"/>
      <c r="EA122" s="22"/>
      <c r="EB122" s="20">
        <f t="shared" si="102"/>
        <v>0</v>
      </c>
      <c r="EC122" s="22"/>
      <c r="ED122" s="22"/>
      <c r="EE122" s="23">
        <f t="shared" si="87"/>
        <v>0</v>
      </c>
      <c r="EF122" s="23">
        <f t="shared" si="85"/>
        <v>0</v>
      </c>
      <c r="EG122" s="23">
        <f t="shared" si="86"/>
        <v>0</v>
      </c>
      <c r="EH122" s="22"/>
      <c r="EI122" s="22"/>
      <c r="EJ122" s="22"/>
      <c r="EK122" s="22"/>
      <c r="EL122" s="22"/>
      <c r="EM122" s="22"/>
      <c r="EN122" s="22"/>
      <c r="EO122" s="22"/>
      <c r="EP122" s="22"/>
      <c r="EQ122" s="22"/>
      <c r="ER122" s="22"/>
      <c r="ES122" s="22"/>
      <c r="ET122" s="22"/>
      <c r="EU122" s="22"/>
      <c r="EV122" s="22"/>
    </row>
    <row r="123" spans="1:152" ht="27" hidden="1" customHeight="1" x14ac:dyDescent="0.2">
      <c r="A123" s="19"/>
      <c r="B123" s="20"/>
      <c r="C123" s="21"/>
      <c r="D123" s="21"/>
      <c r="E123" s="22"/>
      <c r="F123" s="20">
        <f t="shared" si="88"/>
        <v>0</v>
      </c>
      <c r="G123" s="22"/>
      <c r="H123" s="22"/>
      <c r="I123" s="23">
        <f t="shared" si="103"/>
        <v>0</v>
      </c>
      <c r="J123" s="23">
        <f t="shared" si="104"/>
        <v>0</v>
      </c>
      <c r="K123" s="23">
        <f t="shared" si="105"/>
        <v>0</v>
      </c>
      <c r="L123" s="22"/>
      <c r="M123" s="22"/>
      <c r="N123" s="22"/>
      <c r="O123" s="20">
        <f t="shared" si="89"/>
        <v>0</v>
      </c>
      <c r="P123" s="22"/>
      <c r="Q123" s="22"/>
      <c r="R123" s="23">
        <f t="shared" si="46"/>
        <v>0</v>
      </c>
      <c r="S123" s="23">
        <f t="shared" si="47"/>
        <v>0</v>
      </c>
      <c r="T123" s="23">
        <f t="shared" si="48"/>
        <v>0</v>
      </c>
      <c r="U123" s="22"/>
      <c r="V123" s="22"/>
      <c r="W123" s="22"/>
      <c r="X123" s="20">
        <f t="shared" si="90"/>
        <v>0</v>
      </c>
      <c r="Y123" s="22"/>
      <c r="Z123" s="22"/>
      <c r="AA123" s="23">
        <f t="shared" si="49"/>
        <v>0</v>
      </c>
      <c r="AB123" s="23">
        <f t="shared" si="50"/>
        <v>0</v>
      </c>
      <c r="AC123" s="23">
        <f t="shared" si="51"/>
        <v>0</v>
      </c>
      <c r="AD123" s="22"/>
      <c r="AE123" s="22"/>
      <c r="AF123" s="22"/>
      <c r="AG123" s="20">
        <f t="shared" si="91"/>
        <v>0</v>
      </c>
      <c r="AH123" s="22"/>
      <c r="AI123" s="22"/>
      <c r="AJ123" s="23">
        <f t="shared" si="52"/>
        <v>0</v>
      </c>
      <c r="AK123" s="23">
        <f t="shared" si="53"/>
        <v>0</v>
      </c>
      <c r="AL123" s="23">
        <f t="shared" si="54"/>
        <v>0</v>
      </c>
      <c r="AM123" s="22"/>
      <c r="AN123" s="22"/>
      <c r="AO123" s="22"/>
      <c r="AP123" s="20">
        <f t="shared" si="92"/>
        <v>0</v>
      </c>
      <c r="AQ123" s="22"/>
      <c r="AR123" s="22"/>
      <c r="AS123" s="23">
        <f t="shared" si="55"/>
        <v>0</v>
      </c>
      <c r="AT123" s="23">
        <f t="shared" si="56"/>
        <v>0</v>
      </c>
      <c r="AU123" s="23">
        <f t="shared" si="57"/>
        <v>0</v>
      </c>
      <c r="AV123" s="22"/>
      <c r="AW123" s="22"/>
      <c r="AX123" s="22"/>
      <c r="AY123" s="20">
        <f t="shared" si="93"/>
        <v>0</v>
      </c>
      <c r="AZ123" s="22"/>
      <c r="BA123" s="22"/>
      <c r="BB123" s="23">
        <f t="shared" si="58"/>
        <v>0</v>
      </c>
      <c r="BC123" s="23">
        <f t="shared" si="59"/>
        <v>0</v>
      </c>
      <c r="BD123" s="23">
        <f t="shared" si="60"/>
        <v>0</v>
      </c>
      <c r="BE123" s="22"/>
      <c r="BF123" s="22"/>
      <c r="BG123" s="22"/>
      <c r="BH123" s="20">
        <f t="shared" si="94"/>
        <v>0</v>
      </c>
      <c r="BI123" s="22"/>
      <c r="BJ123" s="22"/>
      <c r="BK123" s="23">
        <f t="shared" si="61"/>
        <v>0</v>
      </c>
      <c r="BL123" s="23">
        <f t="shared" si="62"/>
        <v>0</v>
      </c>
      <c r="BM123" s="23">
        <f t="shared" si="63"/>
        <v>0</v>
      </c>
      <c r="BN123" s="22"/>
      <c r="BO123" s="22"/>
      <c r="BP123" s="22"/>
      <c r="BQ123" s="20">
        <f t="shared" si="95"/>
        <v>0</v>
      </c>
      <c r="BR123" s="22"/>
      <c r="BS123" s="22"/>
      <c r="BT123" s="23">
        <f t="shared" si="64"/>
        <v>0</v>
      </c>
      <c r="BU123" s="23">
        <f t="shared" si="65"/>
        <v>0</v>
      </c>
      <c r="BV123" s="23">
        <f t="shared" si="66"/>
        <v>0</v>
      </c>
      <c r="BW123" s="22"/>
      <c r="BX123" s="22"/>
      <c r="BY123" s="22"/>
      <c r="BZ123" s="20">
        <f t="shared" si="96"/>
        <v>0</v>
      </c>
      <c r="CA123" s="22"/>
      <c r="CB123" s="22"/>
      <c r="CC123" s="23">
        <f t="shared" si="67"/>
        <v>0</v>
      </c>
      <c r="CD123" s="23">
        <f t="shared" si="68"/>
        <v>0</v>
      </c>
      <c r="CE123" s="23">
        <f t="shared" si="69"/>
        <v>0</v>
      </c>
      <c r="CF123" s="22"/>
      <c r="CG123" s="22"/>
      <c r="CH123" s="22"/>
      <c r="CI123" s="20">
        <f t="shared" si="97"/>
        <v>0</v>
      </c>
      <c r="CJ123" s="22"/>
      <c r="CK123" s="22"/>
      <c r="CL123" s="23">
        <f t="shared" si="70"/>
        <v>0</v>
      </c>
      <c r="CM123" s="23">
        <f t="shared" si="71"/>
        <v>0</v>
      </c>
      <c r="CN123" s="23">
        <f t="shared" si="72"/>
        <v>0</v>
      </c>
      <c r="CO123" s="22"/>
      <c r="CP123" s="22"/>
      <c r="CQ123" s="22"/>
      <c r="CR123" s="20">
        <f t="shared" si="98"/>
        <v>0</v>
      </c>
      <c r="CS123" s="22"/>
      <c r="CT123" s="22"/>
      <c r="CU123" s="23">
        <f t="shared" si="73"/>
        <v>0</v>
      </c>
      <c r="CV123" s="23">
        <f t="shared" si="74"/>
        <v>0</v>
      </c>
      <c r="CW123" s="23">
        <f t="shared" si="75"/>
        <v>0</v>
      </c>
      <c r="CX123" s="22"/>
      <c r="CY123" s="22"/>
      <c r="CZ123" s="22"/>
      <c r="DA123" s="20">
        <f t="shared" si="99"/>
        <v>0</v>
      </c>
      <c r="DB123" s="22"/>
      <c r="DC123" s="22"/>
      <c r="DD123" s="23">
        <f t="shared" si="76"/>
        <v>0</v>
      </c>
      <c r="DE123" s="23">
        <f t="shared" si="77"/>
        <v>0</v>
      </c>
      <c r="DF123" s="23">
        <f t="shared" si="78"/>
        <v>0</v>
      </c>
      <c r="DG123" s="22"/>
      <c r="DH123" s="22"/>
      <c r="DI123" s="22"/>
      <c r="DJ123" s="20">
        <f t="shared" si="100"/>
        <v>0</v>
      </c>
      <c r="DK123" s="22"/>
      <c r="DL123" s="22"/>
      <c r="DM123" s="23">
        <f t="shared" si="79"/>
        <v>0</v>
      </c>
      <c r="DN123" s="23">
        <f t="shared" si="80"/>
        <v>0</v>
      </c>
      <c r="DO123" s="23">
        <f t="shared" si="81"/>
        <v>0</v>
      </c>
      <c r="DP123" s="22"/>
      <c r="DQ123" s="22"/>
      <c r="DR123" s="22"/>
      <c r="DS123" s="20">
        <f t="shared" si="101"/>
        <v>0</v>
      </c>
      <c r="DT123" s="22"/>
      <c r="DU123" s="22"/>
      <c r="DV123" s="23">
        <f t="shared" si="82"/>
        <v>0</v>
      </c>
      <c r="DW123" s="23">
        <f t="shared" si="83"/>
        <v>0</v>
      </c>
      <c r="DX123" s="23">
        <f t="shared" si="84"/>
        <v>0</v>
      </c>
      <c r="DY123" s="22"/>
      <c r="DZ123" s="22"/>
      <c r="EA123" s="22"/>
      <c r="EB123" s="20">
        <f t="shared" si="102"/>
        <v>0</v>
      </c>
      <c r="EC123" s="22"/>
      <c r="ED123" s="22"/>
      <c r="EE123" s="23">
        <f t="shared" si="87"/>
        <v>0</v>
      </c>
      <c r="EF123" s="23">
        <f t="shared" si="85"/>
        <v>0</v>
      </c>
      <c r="EG123" s="23">
        <f t="shared" si="86"/>
        <v>0</v>
      </c>
      <c r="EH123" s="22"/>
      <c r="EI123" s="22"/>
      <c r="EJ123" s="22"/>
      <c r="EK123" s="22"/>
      <c r="EL123" s="22"/>
      <c r="EM123" s="22"/>
      <c r="EN123" s="22"/>
      <c r="EO123" s="22"/>
      <c r="EP123" s="22"/>
      <c r="EQ123" s="22"/>
      <c r="ER123" s="22"/>
      <c r="ES123" s="22"/>
      <c r="ET123" s="22"/>
      <c r="EU123" s="22"/>
      <c r="EV123" s="22"/>
    </row>
    <row r="124" spans="1:152" ht="15" hidden="1" customHeight="1" x14ac:dyDescent="0.2">
      <c r="A124" s="19"/>
      <c r="B124" s="20"/>
      <c r="C124" s="21"/>
      <c r="D124" s="21"/>
      <c r="E124" s="22"/>
      <c r="F124" s="20">
        <f t="shared" si="88"/>
        <v>0</v>
      </c>
      <c r="G124" s="22"/>
      <c r="H124" s="22"/>
      <c r="I124" s="23">
        <f t="shared" si="103"/>
        <v>0</v>
      </c>
      <c r="J124" s="23">
        <f t="shared" si="104"/>
        <v>0</v>
      </c>
      <c r="K124" s="23">
        <f t="shared" si="105"/>
        <v>0</v>
      </c>
      <c r="L124" s="22"/>
      <c r="M124" s="22"/>
      <c r="N124" s="22"/>
      <c r="O124" s="20">
        <f t="shared" si="89"/>
        <v>0</v>
      </c>
      <c r="P124" s="22"/>
      <c r="Q124" s="22"/>
      <c r="R124" s="23">
        <f t="shared" si="46"/>
        <v>0</v>
      </c>
      <c r="S124" s="23">
        <f t="shared" si="47"/>
        <v>0</v>
      </c>
      <c r="T124" s="23">
        <f t="shared" si="48"/>
        <v>0</v>
      </c>
      <c r="U124" s="22"/>
      <c r="V124" s="22"/>
      <c r="W124" s="22"/>
      <c r="X124" s="20">
        <f t="shared" si="90"/>
        <v>0</v>
      </c>
      <c r="Y124" s="22"/>
      <c r="Z124" s="22"/>
      <c r="AA124" s="23">
        <f t="shared" si="49"/>
        <v>0</v>
      </c>
      <c r="AB124" s="23">
        <f t="shared" si="50"/>
        <v>0</v>
      </c>
      <c r="AC124" s="23">
        <f t="shared" si="51"/>
        <v>0</v>
      </c>
      <c r="AD124" s="22"/>
      <c r="AE124" s="22"/>
      <c r="AF124" s="22"/>
      <c r="AG124" s="20">
        <f t="shared" si="91"/>
        <v>0</v>
      </c>
      <c r="AH124" s="22"/>
      <c r="AI124" s="22"/>
      <c r="AJ124" s="23">
        <f t="shared" si="52"/>
        <v>0</v>
      </c>
      <c r="AK124" s="23">
        <f t="shared" si="53"/>
        <v>0</v>
      </c>
      <c r="AL124" s="23">
        <f t="shared" si="54"/>
        <v>0</v>
      </c>
      <c r="AM124" s="22"/>
      <c r="AN124" s="22"/>
      <c r="AO124" s="22"/>
      <c r="AP124" s="20">
        <f t="shared" si="92"/>
        <v>0</v>
      </c>
      <c r="AQ124" s="22"/>
      <c r="AR124" s="22"/>
      <c r="AS124" s="23">
        <f t="shared" si="55"/>
        <v>0</v>
      </c>
      <c r="AT124" s="23">
        <f t="shared" si="56"/>
        <v>0</v>
      </c>
      <c r="AU124" s="23">
        <f t="shared" si="57"/>
        <v>0</v>
      </c>
      <c r="AV124" s="22"/>
      <c r="AW124" s="22"/>
      <c r="AX124" s="22"/>
      <c r="AY124" s="20">
        <f t="shared" si="93"/>
        <v>0</v>
      </c>
      <c r="AZ124" s="22"/>
      <c r="BA124" s="22"/>
      <c r="BB124" s="23">
        <f t="shared" si="58"/>
        <v>0</v>
      </c>
      <c r="BC124" s="23">
        <f t="shared" si="59"/>
        <v>0</v>
      </c>
      <c r="BD124" s="23">
        <f t="shared" si="60"/>
        <v>0</v>
      </c>
      <c r="BE124" s="22"/>
      <c r="BF124" s="22"/>
      <c r="BG124" s="22"/>
      <c r="BH124" s="20">
        <f t="shared" si="94"/>
        <v>0</v>
      </c>
      <c r="BI124" s="22"/>
      <c r="BJ124" s="22"/>
      <c r="BK124" s="23">
        <f t="shared" si="61"/>
        <v>0</v>
      </c>
      <c r="BL124" s="23">
        <f t="shared" si="62"/>
        <v>0</v>
      </c>
      <c r="BM124" s="23">
        <f t="shared" si="63"/>
        <v>0</v>
      </c>
      <c r="BN124" s="22"/>
      <c r="BO124" s="22"/>
      <c r="BP124" s="22"/>
      <c r="BQ124" s="20">
        <f t="shared" si="95"/>
        <v>0</v>
      </c>
      <c r="BR124" s="22"/>
      <c r="BS124" s="22"/>
      <c r="BT124" s="23">
        <f t="shared" si="64"/>
        <v>0</v>
      </c>
      <c r="BU124" s="23">
        <f t="shared" si="65"/>
        <v>0</v>
      </c>
      <c r="BV124" s="23">
        <f t="shared" si="66"/>
        <v>0</v>
      </c>
      <c r="BW124" s="22"/>
      <c r="BX124" s="22"/>
      <c r="BY124" s="22"/>
      <c r="BZ124" s="20">
        <f t="shared" si="96"/>
        <v>0</v>
      </c>
      <c r="CA124" s="22"/>
      <c r="CB124" s="22"/>
      <c r="CC124" s="23">
        <f t="shared" si="67"/>
        <v>0</v>
      </c>
      <c r="CD124" s="23">
        <f t="shared" si="68"/>
        <v>0</v>
      </c>
      <c r="CE124" s="23">
        <f t="shared" si="69"/>
        <v>0</v>
      </c>
      <c r="CF124" s="22"/>
      <c r="CG124" s="22"/>
      <c r="CH124" s="22"/>
      <c r="CI124" s="20">
        <f t="shared" si="97"/>
        <v>0</v>
      </c>
      <c r="CJ124" s="22"/>
      <c r="CK124" s="22"/>
      <c r="CL124" s="23">
        <f t="shared" si="70"/>
        <v>0</v>
      </c>
      <c r="CM124" s="23">
        <f t="shared" si="71"/>
        <v>0</v>
      </c>
      <c r="CN124" s="23">
        <f t="shared" si="72"/>
        <v>0</v>
      </c>
      <c r="CO124" s="22"/>
      <c r="CP124" s="22"/>
      <c r="CQ124" s="22"/>
      <c r="CR124" s="20">
        <f t="shared" si="98"/>
        <v>0</v>
      </c>
      <c r="CS124" s="22"/>
      <c r="CT124" s="22"/>
      <c r="CU124" s="23">
        <f t="shared" si="73"/>
        <v>0</v>
      </c>
      <c r="CV124" s="23">
        <f t="shared" si="74"/>
        <v>0</v>
      </c>
      <c r="CW124" s="23">
        <f t="shared" si="75"/>
        <v>0</v>
      </c>
      <c r="CX124" s="22"/>
      <c r="CY124" s="22"/>
      <c r="CZ124" s="22"/>
      <c r="DA124" s="20">
        <f t="shared" si="99"/>
        <v>0</v>
      </c>
      <c r="DB124" s="22"/>
      <c r="DC124" s="22"/>
      <c r="DD124" s="23">
        <f t="shared" si="76"/>
        <v>0</v>
      </c>
      <c r="DE124" s="23">
        <f t="shared" si="77"/>
        <v>0</v>
      </c>
      <c r="DF124" s="23">
        <f t="shared" si="78"/>
        <v>0</v>
      </c>
      <c r="DG124" s="22"/>
      <c r="DH124" s="22"/>
      <c r="DI124" s="22"/>
      <c r="DJ124" s="20">
        <f t="shared" si="100"/>
        <v>0</v>
      </c>
      <c r="DK124" s="22"/>
      <c r="DL124" s="22"/>
      <c r="DM124" s="23">
        <f t="shared" si="79"/>
        <v>0</v>
      </c>
      <c r="DN124" s="23">
        <f t="shared" si="80"/>
        <v>0</v>
      </c>
      <c r="DO124" s="23">
        <f t="shared" si="81"/>
        <v>0</v>
      </c>
      <c r="DP124" s="22"/>
      <c r="DQ124" s="22"/>
      <c r="DR124" s="22"/>
      <c r="DS124" s="20">
        <f t="shared" si="101"/>
        <v>0</v>
      </c>
      <c r="DT124" s="22"/>
      <c r="DU124" s="22"/>
      <c r="DV124" s="23">
        <f t="shared" si="82"/>
        <v>0</v>
      </c>
      <c r="DW124" s="23">
        <f t="shared" si="83"/>
        <v>0</v>
      </c>
      <c r="DX124" s="23">
        <f t="shared" si="84"/>
        <v>0</v>
      </c>
      <c r="DY124" s="22"/>
      <c r="DZ124" s="22"/>
      <c r="EA124" s="22"/>
      <c r="EB124" s="20">
        <f t="shared" si="102"/>
        <v>0</v>
      </c>
      <c r="EC124" s="22"/>
      <c r="ED124" s="22"/>
      <c r="EE124" s="23">
        <f t="shared" si="87"/>
        <v>0</v>
      </c>
      <c r="EF124" s="23">
        <f t="shared" si="85"/>
        <v>0</v>
      </c>
      <c r="EG124" s="23">
        <f t="shared" si="86"/>
        <v>0</v>
      </c>
      <c r="EH124" s="22"/>
      <c r="EI124" s="22"/>
      <c r="EJ124" s="22"/>
      <c r="EK124" s="22"/>
      <c r="EL124" s="22"/>
      <c r="EM124" s="22"/>
      <c r="EN124" s="22"/>
      <c r="EO124" s="22"/>
      <c r="EP124" s="22"/>
      <c r="EQ124" s="22"/>
      <c r="ER124" s="22"/>
      <c r="ES124" s="22"/>
      <c r="ET124" s="22"/>
      <c r="EU124" s="22"/>
      <c r="EV124" s="22"/>
    </row>
    <row r="125" spans="1:152" ht="30" hidden="1" customHeight="1" x14ac:dyDescent="0.2">
      <c r="A125" s="19"/>
      <c r="B125" s="20"/>
      <c r="C125" s="21"/>
      <c r="D125" s="21"/>
      <c r="E125" s="22"/>
      <c r="F125" s="20">
        <f t="shared" si="88"/>
        <v>0</v>
      </c>
      <c r="G125" s="22"/>
      <c r="H125" s="22"/>
      <c r="I125" s="23">
        <f t="shared" si="103"/>
        <v>0</v>
      </c>
      <c r="J125" s="23">
        <f t="shared" si="104"/>
        <v>0</v>
      </c>
      <c r="K125" s="23">
        <f t="shared" si="105"/>
        <v>0</v>
      </c>
      <c r="L125" s="22"/>
      <c r="M125" s="22"/>
      <c r="N125" s="22"/>
      <c r="O125" s="20">
        <f t="shared" si="89"/>
        <v>0</v>
      </c>
      <c r="P125" s="22"/>
      <c r="Q125" s="22"/>
      <c r="R125" s="23">
        <f t="shared" si="46"/>
        <v>0</v>
      </c>
      <c r="S125" s="23">
        <f t="shared" si="47"/>
        <v>0</v>
      </c>
      <c r="T125" s="23">
        <f t="shared" si="48"/>
        <v>0</v>
      </c>
      <c r="U125" s="22"/>
      <c r="V125" s="22"/>
      <c r="W125" s="22"/>
      <c r="X125" s="20">
        <f t="shared" si="90"/>
        <v>0</v>
      </c>
      <c r="Y125" s="22"/>
      <c r="Z125" s="22"/>
      <c r="AA125" s="23">
        <f t="shared" si="49"/>
        <v>0</v>
      </c>
      <c r="AB125" s="23">
        <f t="shared" si="50"/>
        <v>0</v>
      </c>
      <c r="AC125" s="23">
        <f t="shared" si="51"/>
        <v>0</v>
      </c>
      <c r="AD125" s="22"/>
      <c r="AE125" s="22"/>
      <c r="AF125" s="22"/>
      <c r="AG125" s="20">
        <f t="shared" si="91"/>
        <v>0</v>
      </c>
      <c r="AH125" s="22"/>
      <c r="AI125" s="22"/>
      <c r="AJ125" s="23">
        <f t="shared" si="52"/>
        <v>0</v>
      </c>
      <c r="AK125" s="23">
        <f t="shared" si="53"/>
        <v>0</v>
      </c>
      <c r="AL125" s="23">
        <f t="shared" si="54"/>
        <v>0</v>
      </c>
      <c r="AM125" s="22"/>
      <c r="AN125" s="22"/>
      <c r="AO125" s="22"/>
      <c r="AP125" s="20">
        <f t="shared" si="92"/>
        <v>0</v>
      </c>
      <c r="AQ125" s="22"/>
      <c r="AR125" s="22"/>
      <c r="AS125" s="23">
        <f t="shared" si="55"/>
        <v>0</v>
      </c>
      <c r="AT125" s="23">
        <f t="shared" si="56"/>
        <v>0</v>
      </c>
      <c r="AU125" s="23">
        <f t="shared" si="57"/>
        <v>0</v>
      </c>
      <c r="AV125" s="22"/>
      <c r="AW125" s="22"/>
      <c r="AX125" s="22"/>
      <c r="AY125" s="20">
        <f t="shared" si="93"/>
        <v>0</v>
      </c>
      <c r="AZ125" s="22"/>
      <c r="BA125" s="22"/>
      <c r="BB125" s="23">
        <f t="shared" si="58"/>
        <v>0</v>
      </c>
      <c r="BC125" s="23">
        <f t="shared" si="59"/>
        <v>0</v>
      </c>
      <c r="BD125" s="23">
        <f t="shared" si="60"/>
        <v>0</v>
      </c>
      <c r="BE125" s="22"/>
      <c r="BF125" s="22"/>
      <c r="BG125" s="22"/>
      <c r="BH125" s="20">
        <f t="shared" si="94"/>
        <v>0</v>
      </c>
      <c r="BI125" s="22"/>
      <c r="BJ125" s="22"/>
      <c r="BK125" s="23">
        <f t="shared" si="61"/>
        <v>0</v>
      </c>
      <c r="BL125" s="23">
        <f t="shared" si="62"/>
        <v>0</v>
      </c>
      <c r="BM125" s="23">
        <f t="shared" si="63"/>
        <v>0</v>
      </c>
      <c r="BN125" s="22"/>
      <c r="BO125" s="22"/>
      <c r="BP125" s="22"/>
      <c r="BQ125" s="20">
        <f t="shared" si="95"/>
        <v>0</v>
      </c>
      <c r="BR125" s="22"/>
      <c r="BS125" s="22"/>
      <c r="BT125" s="23">
        <f t="shared" si="64"/>
        <v>0</v>
      </c>
      <c r="BU125" s="23">
        <f t="shared" si="65"/>
        <v>0</v>
      </c>
      <c r="BV125" s="23">
        <f t="shared" si="66"/>
        <v>0</v>
      </c>
      <c r="BW125" s="22"/>
      <c r="BX125" s="22"/>
      <c r="BY125" s="22"/>
      <c r="BZ125" s="20">
        <f t="shared" si="96"/>
        <v>0</v>
      </c>
      <c r="CA125" s="22"/>
      <c r="CB125" s="22"/>
      <c r="CC125" s="23">
        <f t="shared" si="67"/>
        <v>0</v>
      </c>
      <c r="CD125" s="23">
        <f t="shared" si="68"/>
        <v>0</v>
      </c>
      <c r="CE125" s="23">
        <f t="shared" si="69"/>
        <v>0</v>
      </c>
      <c r="CF125" s="22"/>
      <c r="CG125" s="22"/>
      <c r="CH125" s="22"/>
      <c r="CI125" s="20">
        <f t="shared" si="97"/>
        <v>0</v>
      </c>
      <c r="CJ125" s="22"/>
      <c r="CK125" s="22"/>
      <c r="CL125" s="23">
        <f t="shared" si="70"/>
        <v>0</v>
      </c>
      <c r="CM125" s="23">
        <f t="shared" si="71"/>
        <v>0</v>
      </c>
      <c r="CN125" s="23">
        <f t="shared" si="72"/>
        <v>0</v>
      </c>
      <c r="CO125" s="22"/>
      <c r="CP125" s="22"/>
      <c r="CQ125" s="22"/>
      <c r="CR125" s="20">
        <f t="shared" si="98"/>
        <v>0</v>
      </c>
      <c r="CS125" s="22"/>
      <c r="CT125" s="22"/>
      <c r="CU125" s="23">
        <f t="shared" si="73"/>
        <v>0</v>
      </c>
      <c r="CV125" s="23">
        <f t="shared" si="74"/>
        <v>0</v>
      </c>
      <c r="CW125" s="23">
        <f t="shared" si="75"/>
        <v>0</v>
      </c>
      <c r="CX125" s="22"/>
      <c r="CY125" s="22"/>
      <c r="CZ125" s="22"/>
      <c r="DA125" s="20">
        <f t="shared" si="99"/>
        <v>0</v>
      </c>
      <c r="DB125" s="22"/>
      <c r="DC125" s="22"/>
      <c r="DD125" s="23">
        <f t="shared" si="76"/>
        <v>0</v>
      </c>
      <c r="DE125" s="23">
        <f t="shared" si="77"/>
        <v>0</v>
      </c>
      <c r="DF125" s="23">
        <f t="shared" si="78"/>
        <v>0</v>
      </c>
      <c r="DG125" s="22"/>
      <c r="DH125" s="22"/>
      <c r="DI125" s="22"/>
      <c r="DJ125" s="20">
        <f t="shared" si="100"/>
        <v>0</v>
      </c>
      <c r="DK125" s="22"/>
      <c r="DL125" s="22"/>
      <c r="DM125" s="23">
        <f t="shared" si="79"/>
        <v>0</v>
      </c>
      <c r="DN125" s="23">
        <f t="shared" si="80"/>
        <v>0</v>
      </c>
      <c r="DO125" s="23">
        <f t="shared" si="81"/>
        <v>0</v>
      </c>
      <c r="DP125" s="22"/>
      <c r="DQ125" s="22"/>
      <c r="DR125" s="22"/>
      <c r="DS125" s="20">
        <f t="shared" si="101"/>
        <v>0</v>
      </c>
      <c r="DT125" s="22"/>
      <c r="DU125" s="22"/>
      <c r="DV125" s="23">
        <f t="shared" si="82"/>
        <v>0</v>
      </c>
      <c r="DW125" s="23">
        <f t="shared" si="83"/>
        <v>0</v>
      </c>
      <c r="DX125" s="23">
        <f t="shared" si="84"/>
        <v>0</v>
      </c>
      <c r="DY125" s="22"/>
      <c r="DZ125" s="22"/>
      <c r="EA125" s="22"/>
      <c r="EB125" s="20">
        <f t="shared" si="102"/>
        <v>0</v>
      </c>
      <c r="EC125" s="22"/>
      <c r="ED125" s="22"/>
      <c r="EE125" s="23">
        <f t="shared" si="87"/>
        <v>0</v>
      </c>
      <c r="EF125" s="23">
        <f t="shared" si="85"/>
        <v>0</v>
      </c>
      <c r="EG125" s="23">
        <f t="shared" si="86"/>
        <v>0</v>
      </c>
      <c r="EH125" s="22"/>
      <c r="EI125" s="22"/>
      <c r="EJ125" s="22"/>
      <c r="EK125" s="22"/>
      <c r="EL125" s="22"/>
      <c r="EM125" s="22"/>
      <c r="EN125" s="22"/>
      <c r="EO125" s="22"/>
      <c r="EP125" s="22"/>
      <c r="EQ125" s="22"/>
      <c r="ER125" s="22"/>
      <c r="ES125" s="22"/>
      <c r="ET125" s="22"/>
      <c r="EU125" s="22"/>
      <c r="EV125" s="22"/>
    </row>
    <row r="126" spans="1:152" ht="26.25" hidden="1" customHeight="1" x14ac:dyDescent="0.2">
      <c r="A126" s="19"/>
      <c r="B126" s="20"/>
      <c r="C126" s="21"/>
      <c r="D126" s="21"/>
      <c r="E126" s="22"/>
      <c r="F126" s="20">
        <f t="shared" si="88"/>
        <v>0</v>
      </c>
      <c r="G126" s="22"/>
      <c r="H126" s="22"/>
      <c r="I126" s="23">
        <f t="shared" si="103"/>
        <v>0</v>
      </c>
      <c r="J126" s="23">
        <f t="shared" si="104"/>
        <v>0</v>
      </c>
      <c r="K126" s="23">
        <f t="shared" si="105"/>
        <v>0</v>
      </c>
      <c r="L126" s="22"/>
      <c r="M126" s="22"/>
      <c r="N126" s="22"/>
      <c r="O126" s="20">
        <f t="shared" si="89"/>
        <v>0</v>
      </c>
      <c r="P126" s="22"/>
      <c r="Q126" s="22"/>
      <c r="R126" s="23">
        <f t="shared" si="46"/>
        <v>0</v>
      </c>
      <c r="S126" s="23">
        <f t="shared" si="47"/>
        <v>0</v>
      </c>
      <c r="T126" s="23">
        <f t="shared" si="48"/>
        <v>0</v>
      </c>
      <c r="U126" s="22"/>
      <c r="V126" s="22"/>
      <c r="W126" s="22"/>
      <c r="X126" s="20">
        <f t="shared" si="90"/>
        <v>0</v>
      </c>
      <c r="Y126" s="22"/>
      <c r="Z126" s="22"/>
      <c r="AA126" s="23">
        <f t="shared" si="49"/>
        <v>0</v>
      </c>
      <c r="AB126" s="23">
        <f t="shared" si="50"/>
        <v>0</v>
      </c>
      <c r="AC126" s="23">
        <f t="shared" si="51"/>
        <v>0</v>
      </c>
      <c r="AD126" s="22"/>
      <c r="AE126" s="22"/>
      <c r="AF126" s="22"/>
      <c r="AG126" s="20">
        <f t="shared" si="91"/>
        <v>0</v>
      </c>
      <c r="AH126" s="22"/>
      <c r="AI126" s="22"/>
      <c r="AJ126" s="23">
        <f t="shared" si="52"/>
        <v>0</v>
      </c>
      <c r="AK126" s="23">
        <f t="shared" si="53"/>
        <v>0</v>
      </c>
      <c r="AL126" s="23">
        <f t="shared" si="54"/>
        <v>0</v>
      </c>
      <c r="AM126" s="22"/>
      <c r="AN126" s="22"/>
      <c r="AO126" s="22"/>
      <c r="AP126" s="20">
        <f t="shared" si="92"/>
        <v>0</v>
      </c>
      <c r="AQ126" s="22"/>
      <c r="AR126" s="22"/>
      <c r="AS126" s="23">
        <f t="shared" si="55"/>
        <v>0</v>
      </c>
      <c r="AT126" s="23">
        <f t="shared" si="56"/>
        <v>0</v>
      </c>
      <c r="AU126" s="23">
        <f t="shared" si="57"/>
        <v>0</v>
      </c>
      <c r="AV126" s="22"/>
      <c r="AW126" s="22"/>
      <c r="AX126" s="22"/>
      <c r="AY126" s="20">
        <f t="shared" si="93"/>
        <v>0</v>
      </c>
      <c r="AZ126" s="22"/>
      <c r="BA126" s="22"/>
      <c r="BB126" s="23">
        <f t="shared" si="58"/>
        <v>0</v>
      </c>
      <c r="BC126" s="23">
        <f t="shared" si="59"/>
        <v>0</v>
      </c>
      <c r="BD126" s="23">
        <f t="shared" si="60"/>
        <v>0</v>
      </c>
      <c r="BE126" s="22"/>
      <c r="BF126" s="22"/>
      <c r="BG126" s="22"/>
      <c r="BH126" s="20">
        <f t="shared" si="94"/>
        <v>0</v>
      </c>
      <c r="BI126" s="22"/>
      <c r="BJ126" s="22"/>
      <c r="BK126" s="23">
        <f t="shared" si="61"/>
        <v>0</v>
      </c>
      <c r="BL126" s="23">
        <f t="shared" si="62"/>
        <v>0</v>
      </c>
      <c r="BM126" s="23">
        <f t="shared" si="63"/>
        <v>0</v>
      </c>
      <c r="BN126" s="22"/>
      <c r="BO126" s="22"/>
      <c r="BP126" s="22"/>
      <c r="BQ126" s="20">
        <f t="shared" si="95"/>
        <v>0</v>
      </c>
      <c r="BR126" s="22"/>
      <c r="BS126" s="22"/>
      <c r="BT126" s="23">
        <f t="shared" si="64"/>
        <v>0</v>
      </c>
      <c r="BU126" s="23">
        <f t="shared" si="65"/>
        <v>0</v>
      </c>
      <c r="BV126" s="23">
        <f t="shared" si="66"/>
        <v>0</v>
      </c>
      <c r="BW126" s="22"/>
      <c r="BX126" s="22"/>
      <c r="BY126" s="22"/>
      <c r="BZ126" s="20">
        <f t="shared" si="96"/>
        <v>0</v>
      </c>
      <c r="CA126" s="22"/>
      <c r="CB126" s="22"/>
      <c r="CC126" s="23">
        <f t="shared" si="67"/>
        <v>0</v>
      </c>
      <c r="CD126" s="23">
        <f t="shared" si="68"/>
        <v>0</v>
      </c>
      <c r="CE126" s="23">
        <f t="shared" si="69"/>
        <v>0</v>
      </c>
      <c r="CF126" s="22"/>
      <c r="CG126" s="22"/>
      <c r="CH126" s="22"/>
      <c r="CI126" s="20">
        <f t="shared" si="97"/>
        <v>0</v>
      </c>
      <c r="CJ126" s="22"/>
      <c r="CK126" s="22"/>
      <c r="CL126" s="23">
        <f t="shared" si="70"/>
        <v>0</v>
      </c>
      <c r="CM126" s="23">
        <f t="shared" si="71"/>
        <v>0</v>
      </c>
      <c r="CN126" s="23">
        <f t="shared" si="72"/>
        <v>0</v>
      </c>
      <c r="CO126" s="22"/>
      <c r="CP126" s="22"/>
      <c r="CQ126" s="22"/>
      <c r="CR126" s="20">
        <f t="shared" si="98"/>
        <v>0</v>
      </c>
      <c r="CS126" s="22"/>
      <c r="CT126" s="22"/>
      <c r="CU126" s="23">
        <f t="shared" si="73"/>
        <v>0</v>
      </c>
      <c r="CV126" s="23">
        <f t="shared" si="74"/>
        <v>0</v>
      </c>
      <c r="CW126" s="23">
        <f t="shared" si="75"/>
        <v>0</v>
      </c>
      <c r="CX126" s="22"/>
      <c r="CY126" s="22"/>
      <c r="CZ126" s="22"/>
      <c r="DA126" s="20">
        <f t="shared" si="99"/>
        <v>0</v>
      </c>
      <c r="DB126" s="22"/>
      <c r="DC126" s="22"/>
      <c r="DD126" s="23">
        <f t="shared" si="76"/>
        <v>0</v>
      </c>
      <c r="DE126" s="23">
        <f t="shared" si="77"/>
        <v>0</v>
      </c>
      <c r="DF126" s="23">
        <f t="shared" si="78"/>
        <v>0</v>
      </c>
      <c r="DG126" s="22"/>
      <c r="DH126" s="22"/>
      <c r="DI126" s="22"/>
      <c r="DJ126" s="20">
        <f t="shared" si="100"/>
        <v>0</v>
      </c>
      <c r="DK126" s="22"/>
      <c r="DL126" s="22"/>
      <c r="DM126" s="23">
        <f t="shared" si="79"/>
        <v>0</v>
      </c>
      <c r="DN126" s="23">
        <f t="shared" si="80"/>
        <v>0</v>
      </c>
      <c r="DO126" s="23">
        <f t="shared" si="81"/>
        <v>0</v>
      </c>
      <c r="DP126" s="22"/>
      <c r="DQ126" s="22"/>
      <c r="DR126" s="22"/>
      <c r="DS126" s="20">
        <f t="shared" si="101"/>
        <v>0</v>
      </c>
      <c r="DT126" s="22"/>
      <c r="DU126" s="22"/>
      <c r="DV126" s="23">
        <f t="shared" si="82"/>
        <v>0</v>
      </c>
      <c r="DW126" s="23">
        <f t="shared" si="83"/>
        <v>0</v>
      </c>
      <c r="DX126" s="23">
        <f t="shared" si="84"/>
        <v>0</v>
      </c>
      <c r="DY126" s="22"/>
      <c r="DZ126" s="22"/>
      <c r="EA126" s="22"/>
      <c r="EB126" s="20">
        <f t="shared" si="102"/>
        <v>0</v>
      </c>
      <c r="EC126" s="22"/>
      <c r="ED126" s="22"/>
      <c r="EE126" s="23">
        <f t="shared" si="87"/>
        <v>0</v>
      </c>
      <c r="EF126" s="23">
        <f t="shared" si="85"/>
        <v>0</v>
      </c>
      <c r="EG126" s="23">
        <f t="shared" si="86"/>
        <v>0</v>
      </c>
      <c r="EH126" s="22"/>
      <c r="EI126" s="22"/>
      <c r="EJ126" s="22"/>
      <c r="EK126" s="22"/>
      <c r="EL126" s="22"/>
      <c r="EM126" s="22"/>
      <c r="EN126" s="22"/>
      <c r="EO126" s="22"/>
      <c r="EP126" s="22"/>
      <c r="EQ126" s="22"/>
      <c r="ER126" s="22"/>
      <c r="ES126" s="22"/>
      <c r="ET126" s="22"/>
      <c r="EU126" s="22"/>
      <c r="EV126" s="22"/>
    </row>
    <row r="127" spans="1:152" ht="26.25" hidden="1" customHeight="1" x14ac:dyDescent="0.2">
      <c r="A127" s="19"/>
      <c r="B127" s="20"/>
      <c r="C127" s="21"/>
      <c r="D127" s="21"/>
      <c r="E127" s="22"/>
      <c r="F127" s="20">
        <f t="shared" si="88"/>
        <v>0</v>
      </c>
      <c r="G127" s="22"/>
      <c r="H127" s="22"/>
      <c r="I127" s="23">
        <f t="shared" si="103"/>
        <v>0</v>
      </c>
      <c r="J127" s="23">
        <f t="shared" si="104"/>
        <v>0</v>
      </c>
      <c r="K127" s="23">
        <f t="shared" si="105"/>
        <v>0</v>
      </c>
      <c r="L127" s="22"/>
      <c r="M127" s="22"/>
      <c r="N127" s="22"/>
      <c r="O127" s="20">
        <f t="shared" si="89"/>
        <v>0</v>
      </c>
      <c r="P127" s="22"/>
      <c r="Q127" s="22"/>
      <c r="R127" s="23">
        <f t="shared" si="46"/>
        <v>0</v>
      </c>
      <c r="S127" s="23">
        <f t="shared" si="47"/>
        <v>0</v>
      </c>
      <c r="T127" s="23">
        <f t="shared" si="48"/>
        <v>0</v>
      </c>
      <c r="U127" s="22"/>
      <c r="V127" s="22"/>
      <c r="W127" s="22"/>
      <c r="X127" s="20">
        <f t="shared" si="90"/>
        <v>0</v>
      </c>
      <c r="Y127" s="22"/>
      <c r="Z127" s="22"/>
      <c r="AA127" s="23">
        <f t="shared" si="49"/>
        <v>0</v>
      </c>
      <c r="AB127" s="23">
        <f t="shared" si="50"/>
        <v>0</v>
      </c>
      <c r="AC127" s="23">
        <f t="shared" si="51"/>
        <v>0</v>
      </c>
      <c r="AD127" s="22"/>
      <c r="AE127" s="22"/>
      <c r="AF127" s="22"/>
      <c r="AG127" s="20">
        <f t="shared" si="91"/>
        <v>0</v>
      </c>
      <c r="AH127" s="22"/>
      <c r="AI127" s="22"/>
      <c r="AJ127" s="23">
        <f t="shared" si="52"/>
        <v>0</v>
      </c>
      <c r="AK127" s="23">
        <f t="shared" si="53"/>
        <v>0</v>
      </c>
      <c r="AL127" s="23">
        <f t="shared" si="54"/>
        <v>0</v>
      </c>
      <c r="AM127" s="22"/>
      <c r="AN127" s="22"/>
      <c r="AO127" s="22"/>
      <c r="AP127" s="20">
        <f t="shared" si="92"/>
        <v>0</v>
      </c>
      <c r="AQ127" s="22"/>
      <c r="AR127" s="22"/>
      <c r="AS127" s="23">
        <f t="shared" si="55"/>
        <v>0</v>
      </c>
      <c r="AT127" s="23">
        <f t="shared" si="56"/>
        <v>0</v>
      </c>
      <c r="AU127" s="23">
        <f t="shared" si="57"/>
        <v>0</v>
      </c>
      <c r="AV127" s="22"/>
      <c r="AW127" s="22"/>
      <c r="AX127" s="22"/>
      <c r="AY127" s="20">
        <f t="shared" si="93"/>
        <v>0</v>
      </c>
      <c r="AZ127" s="22"/>
      <c r="BA127" s="22"/>
      <c r="BB127" s="23">
        <f t="shared" si="58"/>
        <v>0</v>
      </c>
      <c r="BC127" s="23">
        <f t="shared" si="59"/>
        <v>0</v>
      </c>
      <c r="BD127" s="23">
        <f t="shared" si="60"/>
        <v>0</v>
      </c>
      <c r="BE127" s="22"/>
      <c r="BF127" s="22"/>
      <c r="BG127" s="22"/>
      <c r="BH127" s="20">
        <f t="shared" si="94"/>
        <v>0</v>
      </c>
      <c r="BI127" s="22"/>
      <c r="BJ127" s="22"/>
      <c r="BK127" s="23">
        <f t="shared" si="61"/>
        <v>0</v>
      </c>
      <c r="BL127" s="23">
        <f t="shared" si="62"/>
        <v>0</v>
      </c>
      <c r="BM127" s="23">
        <f t="shared" si="63"/>
        <v>0</v>
      </c>
      <c r="BN127" s="22"/>
      <c r="BO127" s="22"/>
      <c r="BP127" s="22"/>
      <c r="BQ127" s="20">
        <f t="shared" si="95"/>
        <v>0</v>
      </c>
      <c r="BR127" s="22"/>
      <c r="BS127" s="22"/>
      <c r="BT127" s="23">
        <f t="shared" si="64"/>
        <v>0</v>
      </c>
      <c r="BU127" s="23">
        <f t="shared" si="65"/>
        <v>0</v>
      </c>
      <c r="BV127" s="23">
        <f t="shared" si="66"/>
        <v>0</v>
      </c>
      <c r="BW127" s="22"/>
      <c r="BX127" s="22"/>
      <c r="BY127" s="22"/>
      <c r="BZ127" s="20">
        <f t="shared" si="96"/>
        <v>0</v>
      </c>
      <c r="CA127" s="22"/>
      <c r="CB127" s="22"/>
      <c r="CC127" s="23">
        <f t="shared" si="67"/>
        <v>0</v>
      </c>
      <c r="CD127" s="23">
        <f t="shared" si="68"/>
        <v>0</v>
      </c>
      <c r="CE127" s="23">
        <f t="shared" si="69"/>
        <v>0</v>
      </c>
      <c r="CF127" s="22"/>
      <c r="CG127" s="22"/>
      <c r="CH127" s="22"/>
      <c r="CI127" s="20">
        <f t="shared" si="97"/>
        <v>0</v>
      </c>
      <c r="CJ127" s="22"/>
      <c r="CK127" s="22"/>
      <c r="CL127" s="23">
        <f t="shared" si="70"/>
        <v>0</v>
      </c>
      <c r="CM127" s="23">
        <f t="shared" si="71"/>
        <v>0</v>
      </c>
      <c r="CN127" s="23">
        <f t="shared" si="72"/>
        <v>0</v>
      </c>
      <c r="CO127" s="22"/>
      <c r="CP127" s="22"/>
      <c r="CQ127" s="22"/>
      <c r="CR127" s="20">
        <f t="shared" si="98"/>
        <v>0</v>
      </c>
      <c r="CS127" s="22"/>
      <c r="CT127" s="22"/>
      <c r="CU127" s="23">
        <f t="shared" si="73"/>
        <v>0</v>
      </c>
      <c r="CV127" s="23">
        <f t="shared" si="74"/>
        <v>0</v>
      </c>
      <c r="CW127" s="23">
        <f t="shared" si="75"/>
        <v>0</v>
      </c>
      <c r="CX127" s="22"/>
      <c r="CY127" s="22"/>
      <c r="CZ127" s="22"/>
      <c r="DA127" s="20">
        <f t="shared" si="99"/>
        <v>0</v>
      </c>
      <c r="DB127" s="22"/>
      <c r="DC127" s="22"/>
      <c r="DD127" s="23">
        <f t="shared" si="76"/>
        <v>0</v>
      </c>
      <c r="DE127" s="23">
        <f t="shared" si="77"/>
        <v>0</v>
      </c>
      <c r="DF127" s="23">
        <f t="shared" si="78"/>
        <v>0</v>
      </c>
      <c r="DG127" s="22"/>
      <c r="DH127" s="22"/>
      <c r="DI127" s="22"/>
      <c r="DJ127" s="20">
        <f t="shared" si="100"/>
        <v>0</v>
      </c>
      <c r="DK127" s="22"/>
      <c r="DL127" s="22"/>
      <c r="DM127" s="23">
        <f t="shared" si="79"/>
        <v>0</v>
      </c>
      <c r="DN127" s="23">
        <f t="shared" si="80"/>
        <v>0</v>
      </c>
      <c r="DO127" s="23">
        <f t="shared" si="81"/>
        <v>0</v>
      </c>
      <c r="DP127" s="22"/>
      <c r="DQ127" s="22"/>
      <c r="DR127" s="22"/>
      <c r="DS127" s="20">
        <f t="shared" si="101"/>
        <v>0</v>
      </c>
      <c r="DT127" s="22"/>
      <c r="DU127" s="22"/>
      <c r="DV127" s="23">
        <f t="shared" si="82"/>
        <v>0</v>
      </c>
      <c r="DW127" s="23">
        <f t="shared" si="83"/>
        <v>0</v>
      </c>
      <c r="DX127" s="23">
        <f t="shared" si="84"/>
        <v>0</v>
      </c>
      <c r="DY127" s="22"/>
      <c r="DZ127" s="22"/>
      <c r="EA127" s="22"/>
      <c r="EB127" s="20">
        <f t="shared" si="102"/>
        <v>0</v>
      </c>
      <c r="EC127" s="22"/>
      <c r="ED127" s="22"/>
      <c r="EE127" s="23">
        <f t="shared" si="87"/>
        <v>0</v>
      </c>
      <c r="EF127" s="23">
        <f t="shared" si="85"/>
        <v>0</v>
      </c>
      <c r="EG127" s="23">
        <f t="shared" si="86"/>
        <v>0</v>
      </c>
      <c r="EH127" s="22"/>
      <c r="EI127" s="22"/>
      <c r="EJ127" s="22"/>
      <c r="EK127" s="22"/>
      <c r="EL127" s="22"/>
      <c r="EM127" s="22"/>
      <c r="EN127" s="22"/>
      <c r="EO127" s="22"/>
      <c r="EP127" s="22"/>
      <c r="EQ127" s="22"/>
      <c r="ER127" s="22"/>
      <c r="ES127" s="22"/>
      <c r="ET127" s="22"/>
      <c r="EU127" s="22"/>
      <c r="EV127" s="22"/>
    </row>
    <row r="128" spans="1:152" ht="29.25" hidden="1" customHeight="1" x14ac:dyDescent="0.2">
      <c r="A128" s="19"/>
      <c r="B128" s="20"/>
      <c r="C128" s="21"/>
      <c r="D128" s="21"/>
      <c r="E128" s="22"/>
      <c r="F128" s="20">
        <f t="shared" si="88"/>
        <v>0</v>
      </c>
      <c r="G128" s="22"/>
      <c r="H128" s="22"/>
      <c r="I128" s="23">
        <f t="shared" si="103"/>
        <v>0</v>
      </c>
      <c r="J128" s="23">
        <f t="shared" si="104"/>
        <v>0</v>
      </c>
      <c r="K128" s="23">
        <f t="shared" si="105"/>
        <v>0</v>
      </c>
      <c r="L128" s="22"/>
      <c r="M128" s="22"/>
      <c r="N128" s="22"/>
      <c r="O128" s="20">
        <f t="shared" si="89"/>
        <v>0</v>
      </c>
      <c r="P128" s="22"/>
      <c r="Q128" s="22"/>
      <c r="R128" s="23">
        <f t="shared" si="46"/>
        <v>0</v>
      </c>
      <c r="S128" s="23">
        <f t="shared" si="47"/>
        <v>0</v>
      </c>
      <c r="T128" s="23">
        <f t="shared" si="48"/>
        <v>0</v>
      </c>
      <c r="U128" s="22"/>
      <c r="V128" s="22"/>
      <c r="W128" s="22"/>
      <c r="X128" s="20">
        <f t="shared" si="90"/>
        <v>0</v>
      </c>
      <c r="Y128" s="22"/>
      <c r="Z128" s="22"/>
      <c r="AA128" s="23">
        <f t="shared" si="49"/>
        <v>0</v>
      </c>
      <c r="AB128" s="23">
        <f t="shared" si="50"/>
        <v>0</v>
      </c>
      <c r="AC128" s="23">
        <f t="shared" si="51"/>
        <v>0</v>
      </c>
      <c r="AD128" s="22"/>
      <c r="AE128" s="22"/>
      <c r="AF128" s="22"/>
      <c r="AG128" s="20">
        <f t="shared" si="91"/>
        <v>0</v>
      </c>
      <c r="AH128" s="22"/>
      <c r="AI128" s="22"/>
      <c r="AJ128" s="23">
        <f t="shared" si="52"/>
        <v>0</v>
      </c>
      <c r="AK128" s="23">
        <f t="shared" si="53"/>
        <v>0</v>
      </c>
      <c r="AL128" s="23">
        <f t="shared" si="54"/>
        <v>0</v>
      </c>
      <c r="AM128" s="22"/>
      <c r="AN128" s="22"/>
      <c r="AO128" s="22"/>
      <c r="AP128" s="20">
        <f t="shared" si="92"/>
        <v>0</v>
      </c>
      <c r="AQ128" s="22"/>
      <c r="AR128" s="22"/>
      <c r="AS128" s="23">
        <f t="shared" si="55"/>
        <v>0</v>
      </c>
      <c r="AT128" s="23">
        <f t="shared" si="56"/>
        <v>0</v>
      </c>
      <c r="AU128" s="23">
        <f t="shared" si="57"/>
        <v>0</v>
      </c>
      <c r="AV128" s="22"/>
      <c r="AW128" s="22"/>
      <c r="AX128" s="22"/>
      <c r="AY128" s="20">
        <f t="shared" si="93"/>
        <v>0</v>
      </c>
      <c r="AZ128" s="22"/>
      <c r="BA128" s="22"/>
      <c r="BB128" s="23">
        <f t="shared" si="58"/>
        <v>0</v>
      </c>
      <c r="BC128" s="23">
        <f t="shared" si="59"/>
        <v>0</v>
      </c>
      <c r="BD128" s="23">
        <f t="shared" si="60"/>
        <v>0</v>
      </c>
      <c r="BE128" s="22"/>
      <c r="BF128" s="22"/>
      <c r="BG128" s="22"/>
      <c r="BH128" s="20">
        <f t="shared" si="94"/>
        <v>0</v>
      </c>
      <c r="BI128" s="22"/>
      <c r="BJ128" s="22"/>
      <c r="BK128" s="23">
        <f t="shared" si="61"/>
        <v>0</v>
      </c>
      <c r="BL128" s="23">
        <f t="shared" si="62"/>
        <v>0</v>
      </c>
      <c r="BM128" s="23">
        <f t="shared" si="63"/>
        <v>0</v>
      </c>
      <c r="BN128" s="22"/>
      <c r="BO128" s="22"/>
      <c r="BP128" s="22"/>
      <c r="BQ128" s="20">
        <f t="shared" si="95"/>
        <v>0</v>
      </c>
      <c r="BR128" s="22"/>
      <c r="BS128" s="22"/>
      <c r="BT128" s="23">
        <f t="shared" si="64"/>
        <v>0</v>
      </c>
      <c r="BU128" s="23">
        <f t="shared" si="65"/>
        <v>0</v>
      </c>
      <c r="BV128" s="23">
        <f t="shared" si="66"/>
        <v>0</v>
      </c>
      <c r="BW128" s="22"/>
      <c r="BX128" s="22"/>
      <c r="BY128" s="22"/>
      <c r="BZ128" s="20">
        <f t="shared" si="96"/>
        <v>0</v>
      </c>
      <c r="CA128" s="22"/>
      <c r="CB128" s="22"/>
      <c r="CC128" s="23">
        <f t="shared" si="67"/>
        <v>0</v>
      </c>
      <c r="CD128" s="23">
        <f t="shared" si="68"/>
        <v>0</v>
      </c>
      <c r="CE128" s="23">
        <f t="shared" si="69"/>
        <v>0</v>
      </c>
      <c r="CF128" s="22"/>
      <c r="CG128" s="22"/>
      <c r="CH128" s="22"/>
      <c r="CI128" s="20">
        <f t="shared" si="97"/>
        <v>0</v>
      </c>
      <c r="CJ128" s="22"/>
      <c r="CK128" s="22"/>
      <c r="CL128" s="23">
        <f t="shared" si="70"/>
        <v>0</v>
      </c>
      <c r="CM128" s="23">
        <f t="shared" si="71"/>
        <v>0</v>
      </c>
      <c r="CN128" s="23">
        <f t="shared" si="72"/>
        <v>0</v>
      </c>
      <c r="CO128" s="22"/>
      <c r="CP128" s="22"/>
      <c r="CQ128" s="22"/>
      <c r="CR128" s="20">
        <f t="shared" si="98"/>
        <v>0</v>
      </c>
      <c r="CS128" s="22"/>
      <c r="CT128" s="22"/>
      <c r="CU128" s="23">
        <f t="shared" si="73"/>
        <v>0</v>
      </c>
      <c r="CV128" s="23">
        <f t="shared" si="74"/>
        <v>0</v>
      </c>
      <c r="CW128" s="23">
        <f t="shared" si="75"/>
        <v>0</v>
      </c>
      <c r="CX128" s="22"/>
      <c r="CY128" s="22"/>
      <c r="CZ128" s="22"/>
      <c r="DA128" s="20">
        <f t="shared" si="99"/>
        <v>0</v>
      </c>
      <c r="DB128" s="22"/>
      <c r="DC128" s="22"/>
      <c r="DD128" s="23">
        <f t="shared" si="76"/>
        <v>0</v>
      </c>
      <c r="DE128" s="23">
        <f t="shared" si="77"/>
        <v>0</v>
      </c>
      <c r="DF128" s="23">
        <f t="shared" si="78"/>
        <v>0</v>
      </c>
      <c r="DG128" s="22"/>
      <c r="DH128" s="22"/>
      <c r="DI128" s="22"/>
      <c r="DJ128" s="20">
        <f t="shared" si="100"/>
        <v>0</v>
      </c>
      <c r="DK128" s="22"/>
      <c r="DL128" s="22"/>
      <c r="DM128" s="23">
        <f t="shared" si="79"/>
        <v>0</v>
      </c>
      <c r="DN128" s="23">
        <f t="shared" si="80"/>
        <v>0</v>
      </c>
      <c r="DO128" s="23">
        <f t="shared" si="81"/>
        <v>0</v>
      </c>
      <c r="DP128" s="22"/>
      <c r="DQ128" s="22"/>
      <c r="DR128" s="22"/>
      <c r="DS128" s="20">
        <f t="shared" si="101"/>
        <v>0</v>
      </c>
      <c r="DT128" s="22"/>
      <c r="DU128" s="22"/>
      <c r="DV128" s="23">
        <f t="shared" si="82"/>
        <v>0</v>
      </c>
      <c r="DW128" s="23">
        <f t="shared" si="83"/>
        <v>0</v>
      </c>
      <c r="DX128" s="23">
        <f t="shared" si="84"/>
        <v>0</v>
      </c>
      <c r="DY128" s="22"/>
      <c r="DZ128" s="22"/>
      <c r="EA128" s="22"/>
      <c r="EB128" s="20">
        <f t="shared" si="102"/>
        <v>0</v>
      </c>
      <c r="EC128" s="22"/>
      <c r="ED128" s="22"/>
      <c r="EE128" s="23">
        <f t="shared" si="87"/>
        <v>0</v>
      </c>
      <c r="EF128" s="23">
        <f t="shared" si="85"/>
        <v>0</v>
      </c>
      <c r="EG128" s="23">
        <f t="shared" si="86"/>
        <v>0</v>
      </c>
      <c r="EH128" s="22"/>
      <c r="EI128" s="22"/>
      <c r="EJ128" s="22"/>
      <c r="EK128" s="22"/>
      <c r="EL128" s="22"/>
      <c r="EM128" s="22"/>
      <c r="EN128" s="22"/>
      <c r="EO128" s="22"/>
      <c r="EP128" s="22"/>
      <c r="EQ128" s="22"/>
      <c r="ER128" s="22"/>
      <c r="ES128" s="22"/>
      <c r="ET128" s="22"/>
      <c r="EU128" s="22"/>
      <c r="EV128" s="22"/>
    </row>
    <row r="129" spans="1:154" ht="23.25" hidden="1" customHeight="1" x14ac:dyDescent="0.2">
      <c r="A129" s="19"/>
      <c r="B129" s="20"/>
      <c r="C129" s="21"/>
      <c r="D129" s="21"/>
      <c r="E129" s="22"/>
      <c r="F129" s="20">
        <f t="shared" si="88"/>
        <v>0</v>
      </c>
      <c r="G129" s="22"/>
      <c r="H129" s="22"/>
      <c r="I129" s="23">
        <f t="shared" si="103"/>
        <v>0</v>
      </c>
      <c r="J129" s="23">
        <f t="shared" si="104"/>
        <v>0</v>
      </c>
      <c r="K129" s="23">
        <f t="shared" si="105"/>
        <v>0</v>
      </c>
      <c r="L129" s="22"/>
      <c r="M129" s="22"/>
      <c r="N129" s="22"/>
      <c r="O129" s="20">
        <f t="shared" si="89"/>
        <v>0</v>
      </c>
      <c r="P129" s="22"/>
      <c r="Q129" s="22"/>
      <c r="R129" s="23">
        <f t="shared" si="46"/>
        <v>0</v>
      </c>
      <c r="S129" s="23">
        <f t="shared" si="47"/>
        <v>0</v>
      </c>
      <c r="T129" s="23">
        <f t="shared" si="48"/>
        <v>0</v>
      </c>
      <c r="U129" s="22"/>
      <c r="V129" s="22"/>
      <c r="W129" s="22"/>
      <c r="X129" s="20">
        <f t="shared" si="90"/>
        <v>0</v>
      </c>
      <c r="Y129" s="22"/>
      <c r="Z129" s="22"/>
      <c r="AA129" s="23">
        <f t="shared" si="49"/>
        <v>0</v>
      </c>
      <c r="AB129" s="23">
        <f t="shared" si="50"/>
        <v>0</v>
      </c>
      <c r="AC129" s="23">
        <f t="shared" si="51"/>
        <v>0</v>
      </c>
      <c r="AD129" s="22"/>
      <c r="AE129" s="22"/>
      <c r="AF129" s="22"/>
      <c r="AG129" s="20">
        <f t="shared" si="91"/>
        <v>0</v>
      </c>
      <c r="AH129" s="22"/>
      <c r="AI129" s="22"/>
      <c r="AJ129" s="23">
        <f t="shared" si="52"/>
        <v>0</v>
      </c>
      <c r="AK129" s="23">
        <f t="shared" si="53"/>
        <v>0</v>
      </c>
      <c r="AL129" s="23">
        <f t="shared" si="54"/>
        <v>0</v>
      </c>
      <c r="AM129" s="22"/>
      <c r="AN129" s="22"/>
      <c r="AO129" s="22"/>
      <c r="AP129" s="20">
        <f t="shared" si="92"/>
        <v>0</v>
      </c>
      <c r="AQ129" s="22"/>
      <c r="AR129" s="22"/>
      <c r="AS129" s="23">
        <f t="shared" si="55"/>
        <v>0</v>
      </c>
      <c r="AT129" s="23">
        <f t="shared" si="56"/>
        <v>0</v>
      </c>
      <c r="AU129" s="23">
        <f t="shared" si="57"/>
        <v>0</v>
      </c>
      <c r="AV129" s="22"/>
      <c r="AW129" s="22"/>
      <c r="AX129" s="22"/>
      <c r="AY129" s="20">
        <f t="shared" si="93"/>
        <v>0</v>
      </c>
      <c r="AZ129" s="22"/>
      <c r="BA129" s="22"/>
      <c r="BB129" s="23">
        <f t="shared" si="58"/>
        <v>0</v>
      </c>
      <c r="BC129" s="23">
        <f t="shared" si="59"/>
        <v>0</v>
      </c>
      <c r="BD129" s="23">
        <f t="shared" si="60"/>
        <v>0</v>
      </c>
      <c r="BE129" s="22"/>
      <c r="BF129" s="22"/>
      <c r="BG129" s="22"/>
      <c r="BH129" s="20">
        <f t="shared" si="94"/>
        <v>0</v>
      </c>
      <c r="BI129" s="22"/>
      <c r="BJ129" s="22"/>
      <c r="BK129" s="23">
        <f t="shared" si="61"/>
        <v>0</v>
      </c>
      <c r="BL129" s="23">
        <f t="shared" si="62"/>
        <v>0</v>
      </c>
      <c r="BM129" s="23">
        <f t="shared" si="63"/>
        <v>0</v>
      </c>
      <c r="BN129" s="22"/>
      <c r="BO129" s="22"/>
      <c r="BP129" s="22"/>
      <c r="BQ129" s="20">
        <f t="shared" si="95"/>
        <v>0</v>
      </c>
      <c r="BR129" s="22"/>
      <c r="BS129" s="22"/>
      <c r="BT129" s="23">
        <f t="shared" si="64"/>
        <v>0</v>
      </c>
      <c r="BU129" s="23">
        <f t="shared" si="65"/>
        <v>0</v>
      </c>
      <c r="BV129" s="23">
        <f t="shared" si="66"/>
        <v>0</v>
      </c>
      <c r="BW129" s="22"/>
      <c r="BX129" s="22"/>
      <c r="BY129" s="22"/>
      <c r="BZ129" s="20">
        <f t="shared" si="96"/>
        <v>0</v>
      </c>
      <c r="CA129" s="22"/>
      <c r="CB129" s="22"/>
      <c r="CC129" s="23">
        <f t="shared" si="67"/>
        <v>0</v>
      </c>
      <c r="CD129" s="23">
        <f t="shared" si="68"/>
        <v>0</v>
      </c>
      <c r="CE129" s="23">
        <f t="shared" si="69"/>
        <v>0</v>
      </c>
      <c r="CF129" s="22"/>
      <c r="CG129" s="22"/>
      <c r="CH129" s="22"/>
      <c r="CI129" s="20">
        <f t="shared" si="97"/>
        <v>0</v>
      </c>
      <c r="CJ129" s="22"/>
      <c r="CK129" s="22"/>
      <c r="CL129" s="23">
        <f t="shared" si="70"/>
        <v>0</v>
      </c>
      <c r="CM129" s="23">
        <f t="shared" si="71"/>
        <v>0</v>
      </c>
      <c r="CN129" s="23">
        <f t="shared" si="72"/>
        <v>0</v>
      </c>
      <c r="CO129" s="22"/>
      <c r="CP129" s="22"/>
      <c r="CQ129" s="22"/>
      <c r="CR129" s="20">
        <f t="shared" si="98"/>
        <v>0</v>
      </c>
      <c r="CS129" s="22"/>
      <c r="CT129" s="22"/>
      <c r="CU129" s="23">
        <f t="shared" si="73"/>
        <v>0</v>
      </c>
      <c r="CV129" s="23">
        <f t="shared" si="74"/>
        <v>0</v>
      </c>
      <c r="CW129" s="23">
        <f t="shared" si="75"/>
        <v>0</v>
      </c>
      <c r="CX129" s="22"/>
      <c r="CY129" s="22"/>
      <c r="CZ129" s="22"/>
      <c r="DA129" s="20">
        <f t="shared" si="99"/>
        <v>0</v>
      </c>
      <c r="DB129" s="22"/>
      <c r="DC129" s="22"/>
      <c r="DD129" s="23">
        <f t="shared" si="76"/>
        <v>0</v>
      </c>
      <c r="DE129" s="23">
        <f t="shared" si="77"/>
        <v>0</v>
      </c>
      <c r="DF129" s="23">
        <f t="shared" si="78"/>
        <v>0</v>
      </c>
      <c r="DG129" s="22"/>
      <c r="DH129" s="22"/>
      <c r="DI129" s="22"/>
      <c r="DJ129" s="20">
        <f t="shared" si="100"/>
        <v>0</v>
      </c>
      <c r="DK129" s="22"/>
      <c r="DL129" s="22"/>
      <c r="DM129" s="23">
        <f t="shared" si="79"/>
        <v>0</v>
      </c>
      <c r="DN129" s="23">
        <f t="shared" si="80"/>
        <v>0</v>
      </c>
      <c r="DO129" s="23">
        <f t="shared" si="81"/>
        <v>0</v>
      </c>
      <c r="DP129" s="22"/>
      <c r="DQ129" s="22"/>
      <c r="DR129" s="22"/>
      <c r="DS129" s="20">
        <f t="shared" si="101"/>
        <v>0</v>
      </c>
      <c r="DT129" s="22"/>
      <c r="DU129" s="22"/>
      <c r="DV129" s="23">
        <f t="shared" si="82"/>
        <v>0</v>
      </c>
      <c r="DW129" s="23">
        <f t="shared" si="83"/>
        <v>0</v>
      </c>
      <c r="DX129" s="23">
        <f t="shared" si="84"/>
        <v>0</v>
      </c>
      <c r="DY129" s="22"/>
      <c r="DZ129" s="22"/>
      <c r="EA129" s="22"/>
      <c r="EB129" s="20">
        <f t="shared" si="102"/>
        <v>0</v>
      </c>
      <c r="EC129" s="22"/>
      <c r="ED129" s="22"/>
      <c r="EE129" s="23">
        <f t="shared" si="87"/>
        <v>0</v>
      </c>
      <c r="EF129" s="23">
        <f t="shared" si="85"/>
        <v>0</v>
      </c>
      <c r="EG129" s="23">
        <f t="shared" si="86"/>
        <v>0</v>
      </c>
      <c r="EH129" s="22"/>
      <c r="EI129" s="22"/>
      <c r="EJ129" s="22"/>
      <c r="EK129" s="22"/>
      <c r="EL129" s="22"/>
      <c r="EM129" s="22"/>
      <c r="EN129" s="22"/>
      <c r="EO129" s="22"/>
      <c r="EP129" s="22"/>
      <c r="EQ129" s="22"/>
      <c r="ER129" s="22"/>
      <c r="ES129" s="22"/>
      <c r="ET129" s="22"/>
      <c r="EU129" s="22"/>
      <c r="EV129" s="22"/>
    </row>
    <row r="130" spans="1:154" ht="17.25" hidden="1" customHeight="1" x14ac:dyDescent="0.2">
      <c r="A130" s="19"/>
      <c r="B130" s="20"/>
      <c r="C130" s="21"/>
      <c r="D130" s="21"/>
      <c r="E130" s="22"/>
      <c r="F130" s="20">
        <f t="shared" si="88"/>
        <v>0</v>
      </c>
      <c r="G130" s="22"/>
      <c r="H130" s="22"/>
      <c r="I130" s="23">
        <f t="shared" si="103"/>
        <v>0</v>
      </c>
      <c r="J130" s="23">
        <f t="shared" si="104"/>
        <v>0</v>
      </c>
      <c r="K130" s="23">
        <f t="shared" si="105"/>
        <v>0</v>
      </c>
      <c r="L130" s="22"/>
      <c r="M130" s="22"/>
      <c r="N130" s="22"/>
      <c r="O130" s="20">
        <f t="shared" si="89"/>
        <v>0</v>
      </c>
      <c r="P130" s="22"/>
      <c r="Q130" s="22"/>
      <c r="R130" s="23">
        <f t="shared" si="46"/>
        <v>0</v>
      </c>
      <c r="S130" s="23">
        <f t="shared" si="47"/>
        <v>0</v>
      </c>
      <c r="T130" s="23">
        <f t="shared" si="48"/>
        <v>0</v>
      </c>
      <c r="U130" s="22"/>
      <c r="V130" s="22"/>
      <c r="W130" s="22"/>
      <c r="X130" s="20">
        <f t="shared" si="90"/>
        <v>0</v>
      </c>
      <c r="Y130" s="22"/>
      <c r="Z130" s="22"/>
      <c r="AA130" s="23">
        <f t="shared" si="49"/>
        <v>0</v>
      </c>
      <c r="AB130" s="23">
        <f t="shared" si="50"/>
        <v>0</v>
      </c>
      <c r="AC130" s="23">
        <f t="shared" si="51"/>
        <v>0</v>
      </c>
      <c r="AD130" s="22"/>
      <c r="AE130" s="22"/>
      <c r="AF130" s="22"/>
      <c r="AG130" s="20">
        <f t="shared" si="91"/>
        <v>0</v>
      </c>
      <c r="AH130" s="22"/>
      <c r="AI130" s="22"/>
      <c r="AJ130" s="23">
        <f t="shared" si="52"/>
        <v>0</v>
      </c>
      <c r="AK130" s="23">
        <f t="shared" si="53"/>
        <v>0</v>
      </c>
      <c r="AL130" s="23">
        <f t="shared" si="54"/>
        <v>0</v>
      </c>
      <c r="AM130" s="22"/>
      <c r="AN130" s="22"/>
      <c r="AO130" s="22"/>
      <c r="AP130" s="20">
        <f t="shared" si="92"/>
        <v>0</v>
      </c>
      <c r="AQ130" s="22"/>
      <c r="AR130" s="22"/>
      <c r="AS130" s="23">
        <f t="shared" si="55"/>
        <v>0</v>
      </c>
      <c r="AT130" s="23">
        <f t="shared" si="56"/>
        <v>0</v>
      </c>
      <c r="AU130" s="23">
        <f t="shared" si="57"/>
        <v>0</v>
      </c>
      <c r="AV130" s="22"/>
      <c r="AW130" s="22"/>
      <c r="AX130" s="22"/>
      <c r="AY130" s="20">
        <f t="shared" si="93"/>
        <v>0</v>
      </c>
      <c r="AZ130" s="22"/>
      <c r="BA130" s="22"/>
      <c r="BB130" s="23">
        <f t="shared" si="58"/>
        <v>0</v>
      </c>
      <c r="BC130" s="23">
        <f t="shared" si="59"/>
        <v>0</v>
      </c>
      <c r="BD130" s="23">
        <f t="shared" si="60"/>
        <v>0</v>
      </c>
      <c r="BE130" s="22"/>
      <c r="BF130" s="22"/>
      <c r="BG130" s="22"/>
      <c r="BH130" s="20">
        <f t="shared" si="94"/>
        <v>0</v>
      </c>
      <c r="BI130" s="22"/>
      <c r="BJ130" s="22"/>
      <c r="BK130" s="23">
        <f t="shared" si="61"/>
        <v>0</v>
      </c>
      <c r="BL130" s="23">
        <f t="shared" si="62"/>
        <v>0</v>
      </c>
      <c r="BM130" s="23">
        <f t="shared" si="63"/>
        <v>0</v>
      </c>
      <c r="BN130" s="22"/>
      <c r="BO130" s="22"/>
      <c r="BP130" s="22"/>
      <c r="BQ130" s="20">
        <f t="shared" si="95"/>
        <v>0</v>
      </c>
      <c r="BR130" s="22"/>
      <c r="BS130" s="22"/>
      <c r="BT130" s="23">
        <f t="shared" si="64"/>
        <v>0</v>
      </c>
      <c r="BU130" s="23">
        <f t="shared" si="65"/>
        <v>0</v>
      </c>
      <c r="BV130" s="23">
        <f t="shared" si="66"/>
        <v>0</v>
      </c>
      <c r="BW130" s="22"/>
      <c r="BX130" s="22"/>
      <c r="BY130" s="22"/>
      <c r="BZ130" s="20">
        <f t="shared" si="96"/>
        <v>0</v>
      </c>
      <c r="CA130" s="22"/>
      <c r="CB130" s="22"/>
      <c r="CC130" s="23">
        <f t="shared" si="67"/>
        <v>0</v>
      </c>
      <c r="CD130" s="23">
        <f t="shared" si="68"/>
        <v>0</v>
      </c>
      <c r="CE130" s="23">
        <f t="shared" si="69"/>
        <v>0</v>
      </c>
      <c r="CF130" s="22"/>
      <c r="CG130" s="22"/>
      <c r="CH130" s="22"/>
      <c r="CI130" s="20">
        <f t="shared" si="97"/>
        <v>0</v>
      </c>
      <c r="CJ130" s="22"/>
      <c r="CK130" s="22"/>
      <c r="CL130" s="23">
        <f t="shared" si="70"/>
        <v>0</v>
      </c>
      <c r="CM130" s="23">
        <f t="shared" si="71"/>
        <v>0</v>
      </c>
      <c r="CN130" s="23">
        <f t="shared" si="72"/>
        <v>0</v>
      </c>
      <c r="CO130" s="22"/>
      <c r="CP130" s="22"/>
      <c r="CQ130" s="22"/>
      <c r="CR130" s="20">
        <f t="shared" si="98"/>
        <v>0</v>
      </c>
      <c r="CS130" s="22"/>
      <c r="CT130" s="22"/>
      <c r="CU130" s="23">
        <f t="shared" si="73"/>
        <v>0</v>
      </c>
      <c r="CV130" s="23">
        <f t="shared" si="74"/>
        <v>0</v>
      </c>
      <c r="CW130" s="23">
        <f t="shared" si="75"/>
        <v>0</v>
      </c>
      <c r="CX130" s="22"/>
      <c r="CY130" s="22"/>
      <c r="CZ130" s="22"/>
      <c r="DA130" s="20">
        <f t="shared" si="99"/>
        <v>0</v>
      </c>
      <c r="DB130" s="22"/>
      <c r="DC130" s="22"/>
      <c r="DD130" s="23">
        <f t="shared" si="76"/>
        <v>0</v>
      </c>
      <c r="DE130" s="23">
        <f t="shared" si="77"/>
        <v>0</v>
      </c>
      <c r="DF130" s="23">
        <f t="shared" si="78"/>
        <v>0</v>
      </c>
      <c r="DG130" s="22"/>
      <c r="DH130" s="22"/>
      <c r="DI130" s="22"/>
      <c r="DJ130" s="20">
        <f t="shared" si="100"/>
        <v>0</v>
      </c>
      <c r="DK130" s="22"/>
      <c r="DL130" s="22"/>
      <c r="DM130" s="23">
        <f t="shared" si="79"/>
        <v>0</v>
      </c>
      <c r="DN130" s="23">
        <f t="shared" si="80"/>
        <v>0</v>
      </c>
      <c r="DO130" s="23">
        <f t="shared" si="81"/>
        <v>0</v>
      </c>
      <c r="DP130" s="22"/>
      <c r="DQ130" s="22"/>
      <c r="DR130" s="22"/>
      <c r="DS130" s="20">
        <f t="shared" si="101"/>
        <v>0</v>
      </c>
      <c r="DT130" s="22"/>
      <c r="DU130" s="22"/>
      <c r="DV130" s="23">
        <f t="shared" si="82"/>
        <v>0</v>
      </c>
      <c r="DW130" s="23">
        <f t="shared" si="83"/>
        <v>0</v>
      </c>
      <c r="DX130" s="23">
        <f t="shared" si="84"/>
        <v>0</v>
      </c>
      <c r="DY130" s="22"/>
      <c r="DZ130" s="22"/>
      <c r="EA130" s="22"/>
      <c r="EB130" s="20">
        <f t="shared" si="102"/>
        <v>0</v>
      </c>
      <c r="EC130" s="22"/>
      <c r="ED130" s="22"/>
      <c r="EE130" s="23">
        <f t="shared" si="87"/>
        <v>0</v>
      </c>
      <c r="EF130" s="23">
        <f t="shared" si="85"/>
        <v>0</v>
      </c>
      <c r="EG130" s="23">
        <f t="shared" si="86"/>
        <v>0</v>
      </c>
      <c r="EH130" s="22"/>
      <c r="EI130" s="22"/>
      <c r="EJ130" s="22"/>
      <c r="EK130" s="22"/>
      <c r="EL130" s="22"/>
      <c r="EM130" s="22"/>
      <c r="EN130" s="22"/>
      <c r="EO130" s="22"/>
      <c r="EP130" s="22"/>
      <c r="EQ130" s="22"/>
      <c r="ER130" s="22"/>
      <c r="ES130" s="22"/>
      <c r="ET130" s="22"/>
      <c r="EU130" s="22"/>
      <c r="EV130" s="22"/>
    </row>
    <row r="131" spans="1:154" ht="23.25" hidden="1" customHeight="1" x14ac:dyDescent="0.2">
      <c r="A131" s="19"/>
      <c r="B131" s="20"/>
      <c r="C131" s="21"/>
      <c r="D131" s="21"/>
      <c r="E131" s="22"/>
      <c r="F131" s="20">
        <f t="shared" si="88"/>
        <v>0</v>
      </c>
      <c r="G131" s="22"/>
      <c r="H131" s="22"/>
      <c r="I131" s="23">
        <f t="shared" si="103"/>
        <v>0</v>
      </c>
      <c r="J131" s="23">
        <f t="shared" si="104"/>
        <v>0</v>
      </c>
      <c r="K131" s="23">
        <f t="shared" si="105"/>
        <v>0</v>
      </c>
      <c r="L131" s="22"/>
      <c r="M131" s="22"/>
      <c r="N131" s="22"/>
      <c r="O131" s="20">
        <f t="shared" si="89"/>
        <v>0</v>
      </c>
      <c r="P131" s="22"/>
      <c r="Q131" s="22"/>
      <c r="R131" s="23">
        <f t="shared" si="46"/>
        <v>0</v>
      </c>
      <c r="S131" s="23">
        <f t="shared" si="47"/>
        <v>0</v>
      </c>
      <c r="T131" s="23">
        <f t="shared" si="48"/>
        <v>0</v>
      </c>
      <c r="U131" s="22"/>
      <c r="V131" s="22"/>
      <c r="W131" s="22"/>
      <c r="X131" s="20">
        <f t="shared" si="90"/>
        <v>0</v>
      </c>
      <c r="Y131" s="22"/>
      <c r="Z131" s="22"/>
      <c r="AA131" s="23">
        <f t="shared" si="49"/>
        <v>0</v>
      </c>
      <c r="AB131" s="23">
        <f t="shared" si="50"/>
        <v>0</v>
      </c>
      <c r="AC131" s="23">
        <f t="shared" si="51"/>
        <v>0</v>
      </c>
      <c r="AD131" s="22"/>
      <c r="AE131" s="22"/>
      <c r="AF131" s="22"/>
      <c r="AG131" s="20">
        <f t="shared" si="91"/>
        <v>0</v>
      </c>
      <c r="AH131" s="22"/>
      <c r="AI131" s="22"/>
      <c r="AJ131" s="23">
        <f t="shared" si="52"/>
        <v>0</v>
      </c>
      <c r="AK131" s="23">
        <f t="shared" si="53"/>
        <v>0</v>
      </c>
      <c r="AL131" s="23">
        <f t="shared" si="54"/>
        <v>0</v>
      </c>
      <c r="AM131" s="22"/>
      <c r="AN131" s="22"/>
      <c r="AO131" s="22"/>
      <c r="AP131" s="20">
        <f t="shared" si="92"/>
        <v>0</v>
      </c>
      <c r="AQ131" s="22"/>
      <c r="AR131" s="22"/>
      <c r="AS131" s="23">
        <f t="shared" si="55"/>
        <v>0</v>
      </c>
      <c r="AT131" s="23">
        <f t="shared" si="56"/>
        <v>0</v>
      </c>
      <c r="AU131" s="23">
        <f t="shared" si="57"/>
        <v>0</v>
      </c>
      <c r="AV131" s="22"/>
      <c r="AW131" s="22"/>
      <c r="AX131" s="22"/>
      <c r="AY131" s="20">
        <f t="shared" si="93"/>
        <v>0</v>
      </c>
      <c r="AZ131" s="22"/>
      <c r="BA131" s="22"/>
      <c r="BB131" s="23">
        <f t="shared" si="58"/>
        <v>0</v>
      </c>
      <c r="BC131" s="23">
        <f t="shared" si="59"/>
        <v>0</v>
      </c>
      <c r="BD131" s="23">
        <f t="shared" si="60"/>
        <v>0</v>
      </c>
      <c r="BE131" s="22"/>
      <c r="BF131" s="22"/>
      <c r="BG131" s="22"/>
      <c r="BH131" s="20">
        <f t="shared" si="94"/>
        <v>0</v>
      </c>
      <c r="BI131" s="22"/>
      <c r="BJ131" s="22"/>
      <c r="BK131" s="23">
        <f t="shared" si="61"/>
        <v>0</v>
      </c>
      <c r="BL131" s="23">
        <f t="shared" si="62"/>
        <v>0</v>
      </c>
      <c r="BM131" s="23">
        <f t="shared" si="63"/>
        <v>0</v>
      </c>
      <c r="BN131" s="22"/>
      <c r="BO131" s="22"/>
      <c r="BP131" s="22"/>
      <c r="BQ131" s="20">
        <f t="shared" si="95"/>
        <v>0</v>
      </c>
      <c r="BR131" s="22"/>
      <c r="BS131" s="22"/>
      <c r="BT131" s="23">
        <f t="shared" si="64"/>
        <v>0</v>
      </c>
      <c r="BU131" s="23">
        <f t="shared" si="65"/>
        <v>0</v>
      </c>
      <c r="BV131" s="23">
        <f t="shared" si="66"/>
        <v>0</v>
      </c>
      <c r="BW131" s="22"/>
      <c r="BX131" s="22"/>
      <c r="BY131" s="22"/>
      <c r="BZ131" s="20">
        <f t="shared" si="96"/>
        <v>0</v>
      </c>
      <c r="CA131" s="22"/>
      <c r="CB131" s="22"/>
      <c r="CC131" s="23">
        <f t="shared" si="67"/>
        <v>0</v>
      </c>
      <c r="CD131" s="23">
        <f t="shared" si="68"/>
        <v>0</v>
      </c>
      <c r="CE131" s="23">
        <f t="shared" si="69"/>
        <v>0</v>
      </c>
      <c r="CF131" s="22"/>
      <c r="CG131" s="22"/>
      <c r="CH131" s="22"/>
      <c r="CI131" s="20">
        <f t="shared" si="97"/>
        <v>0</v>
      </c>
      <c r="CJ131" s="22"/>
      <c r="CK131" s="22"/>
      <c r="CL131" s="23">
        <f t="shared" si="70"/>
        <v>0</v>
      </c>
      <c r="CM131" s="23">
        <f t="shared" si="71"/>
        <v>0</v>
      </c>
      <c r="CN131" s="23">
        <f t="shared" si="72"/>
        <v>0</v>
      </c>
      <c r="CO131" s="22"/>
      <c r="CP131" s="22"/>
      <c r="CQ131" s="22"/>
      <c r="CR131" s="20">
        <f t="shared" si="98"/>
        <v>0</v>
      </c>
      <c r="CS131" s="22"/>
      <c r="CT131" s="22"/>
      <c r="CU131" s="23">
        <f t="shared" si="73"/>
        <v>0</v>
      </c>
      <c r="CV131" s="23">
        <f t="shared" si="74"/>
        <v>0</v>
      </c>
      <c r="CW131" s="23">
        <f t="shared" si="75"/>
        <v>0</v>
      </c>
      <c r="CX131" s="22"/>
      <c r="CY131" s="22"/>
      <c r="CZ131" s="22"/>
      <c r="DA131" s="20">
        <f t="shared" si="99"/>
        <v>0</v>
      </c>
      <c r="DB131" s="22"/>
      <c r="DC131" s="22"/>
      <c r="DD131" s="23">
        <f t="shared" si="76"/>
        <v>0</v>
      </c>
      <c r="DE131" s="23">
        <f t="shared" si="77"/>
        <v>0</v>
      </c>
      <c r="DF131" s="23">
        <f t="shared" si="78"/>
        <v>0</v>
      </c>
      <c r="DG131" s="22"/>
      <c r="DH131" s="22"/>
      <c r="DI131" s="22"/>
      <c r="DJ131" s="20">
        <f t="shared" si="100"/>
        <v>0</v>
      </c>
      <c r="DK131" s="22"/>
      <c r="DL131" s="22"/>
      <c r="DM131" s="23">
        <f t="shared" si="79"/>
        <v>0</v>
      </c>
      <c r="DN131" s="23">
        <f t="shared" si="80"/>
        <v>0</v>
      </c>
      <c r="DO131" s="23">
        <f t="shared" si="81"/>
        <v>0</v>
      </c>
      <c r="DP131" s="22"/>
      <c r="DQ131" s="22"/>
      <c r="DR131" s="22"/>
      <c r="DS131" s="20">
        <f t="shared" si="101"/>
        <v>0</v>
      </c>
      <c r="DT131" s="22"/>
      <c r="DU131" s="22"/>
      <c r="DV131" s="23">
        <f t="shared" si="82"/>
        <v>0</v>
      </c>
      <c r="DW131" s="23">
        <f t="shared" si="83"/>
        <v>0</v>
      </c>
      <c r="DX131" s="23">
        <f t="shared" si="84"/>
        <v>0</v>
      </c>
      <c r="DY131" s="22"/>
      <c r="DZ131" s="22"/>
      <c r="EA131" s="22"/>
      <c r="EB131" s="20">
        <f t="shared" si="102"/>
        <v>0</v>
      </c>
      <c r="EC131" s="22"/>
      <c r="ED131" s="22"/>
      <c r="EE131" s="23">
        <f t="shared" si="87"/>
        <v>0</v>
      </c>
      <c r="EF131" s="23">
        <f t="shared" si="85"/>
        <v>0</v>
      </c>
      <c r="EG131" s="23">
        <f t="shared" si="86"/>
        <v>0</v>
      </c>
      <c r="EH131" s="22"/>
      <c r="EI131" s="22"/>
      <c r="EJ131" s="22"/>
      <c r="EK131" s="22"/>
      <c r="EL131" s="22"/>
      <c r="EM131" s="22"/>
      <c r="EN131" s="22"/>
      <c r="EO131" s="22"/>
      <c r="EP131" s="22"/>
      <c r="EQ131" s="22"/>
      <c r="ER131" s="22"/>
      <c r="ES131" s="22"/>
      <c r="ET131" s="22"/>
      <c r="EU131" s="22"/>
      <c r="EV131" s="22"/>
    </row>
    <row r="132" spans="1:154" ht="25.5" hidden="1" customHeight="1" x14ac:dyDescent="0.2">
      <c r="A132" s="19"/>
      <c r="B132" s="20"/>
      <c r="C132" s="21"/>
      <c r="D132" s="21"/>
      <c r="E132" s="22"/>
      <c r="F132" s="20">
        <f t="shared" si="88"/>
        <v>0</v>
      </c>
      <c r="G132" s="22"/>
      <c r="H132" s="22"/>
      <c r="I132" s="23">
        <f t="shared" si="103"/>
        <v>0</v>
      </c>
      <c r="J132" s="23">
        <f t="shared" si="104"/>
        <v>0</v>
      </c>
      <c r="K132" s="23">
        <f t="shared" si="105"/>
        <v>0</v>
      </c>
      <c r="L132" s="22"/>
      <c r="M132" s="22"/>
      <c r="N132" s="22"/>
      <c r="O132" s="20">
        <f t="shared" si="89"/>
        <v>0</v>
      </c>
      <c r="P132" s="22"/>
      <c r="Q132" s="22"/>
      <c r="R132" s="23">
        <f t="shared" si="46"/>
        <v>0</v>
      </c>
      <c r="S132" s="23">
        <f t="shared" si="47"/>
        <v>0</v>
      </c>
      <c r="T132" s="23">
        <f t="shared" si="48"/>
        <v>0</v>
      </c>
      <c r="U132" s="22"/>
      <c r="V132" s="22"/>
      <c r="W132" s="22"/>
      <c r="X132" s="20">
        <f t="shared" si="90"/>
        <v>0</v>
      </c>
      <c r="Y132" s="22"/>
      <c r="Z132" s="22"/>
      <c r="AA132" s="23">
        <f t="shared" si="49"/>
        <v>0</v>
      </c>
      <c r="AB132" s="23">
        <f t="shared" si="50"/>
        <v>0</v>
      </c>
      <c r="AC132" s="23">
        <f t="shared" si="51"/>
        <v>0</v>
      </c>
      <c r="AD132" s="22"/>
      <c r="AE132" s="22"/>
      <c r="AF132" s="22"/>
      <c r="AG132" s="20">
        <f t="shared" si="91"/>
        <v>0</v>
      </c>
      <c r="AH132" s="22"/>
      <c r="AI132" s="22"/>
      <c r="AJ132" s="23">
        <f t="shared" si="52"/>
        <v>0</v>
      </c>
      <c r="AK132" s="23">
        <f t="shared" si="53"/>
        <v>0</v>
      </c>
      <c r="AL132" s="23">
        <f t="shared" si="54"/>
        <v>0</v>
      </c>
      <c r="AM132" s="22"/>
      <c r="AN132" s="22"/>
      <c r="AO132" s="22"/>
      <c r="AP132" s="20">
        <f t="shared" si="92"/>
        <v>0</v>
      </c>
      <c r="AQ132" s="22"/>
      <c r="AR132" s="22"/>
      <c r="AS132" s="23">
        <f t="shared" si="55"/>
        <v>0</v>
      </c>
      <c r="AT132" s="23">
        <f t="shared" si="56"/>
        <v>0</v>
      </c>
      <c r="AU132" s="23">
        <f t="shared" si="57"/>
        <v>0</v>
      </c>
      <c r="AV132" s="22"/>
      <c r="AW132" s="22"/>
      <c r="AX132" s="22"/>
      <c r="AY132" s="20">
        <f t="shared" si="93"/>
        <v>0</v>
      </c>
      <c r="AZ132" s="22"/>
      <c r="BA132" s="22"/>
      <c r="BB132" s="23">
        <f t="shared" si="58"/>
        <v>0</v>
      </c>
      <c r="BC132" s="23">
        <f t="shared" si="59"/>
        <v>0</v>
      </c>
      <c r="BD132" s="23">
        <f t="shared" si="60"/>
        <v>0</v>
      </c>
      <c r="BE132" s="22"/>
      <c r="BF132" s="22"/>
      <c r="BG132" s="22"/>
      <c r="BH132" s="20">
        <f t="shared" si="94"/>
        <v>0</v>
      </c>
      <c r="BI132" s="22"/>
      <c r="BJ132" s="22"/>
      <c r="BK132" s="23">
        <f t="shared" si="61"/>
        <v>0</v>
      </c>
      <c r="BL132" s="23">
        <f t="shared" si="62"/>
        <v>0</v>
      </c>
      <c r="BM132" s="23">
        <f t="shared" si="63"/>
        <v>0</v>
      </c>
      <c r="BN132" s="22"/>
      <c r="BO132" s="22"/>
      <c r="BP132" s="22"/>
      <c r="BQ132" s="20">
        <f t="shared" si="95"/>
        <v>0</v>
      </c>
      <c r="BR132" s="22"/>
      <c r="BS132" s="22"/>
      <c r="BT132" s="23">
        <f t="shared" si="64"/>
        <v>0</v>
      </c>
      <c r="BU132" s="23">
        <f t="shared" si="65"/>
        <v>0</v>
      </c>
      <c r="BV132" s="23">
        <f t="shared" si="66"/>
        <v>0</v>
      </c>
      <c r="BW132" s="22"/>
      <c r="BX132" s="22"/>
      <c r="BY132" s="22"/>
      <c r="BZ132" s="20">
        <f t="shared" si="96"/>
        <v>0</v>
      </c>
      <c r="CA132" s="22"/>
      <c r="CB132" s="22"/>
      <c r="CC132" s="23">
        <f t="shared" si="67"/>
        <v>0</v>
      </c>
      <c r="CD132" s="23">
        <f t="shared" si="68"/>
        <v>0</v>
      </c>
      <c r="CE132" s="23">
        <f t="shared" si="69"/>
        <v>0</v>
      </c>
      <c r="CF132" s="22"/>
      <c r="CG132" s="22"/>
      <c r="CH132" s="22"/>
      <c r="CI132" s="20">
        <f t="shared" si="97"/>
        <v>0</v>
      </c>
      <c r="CJ132" s="22"/>
      <c r="CK132" s="22"/>
      <c r="CL132" s="23">
        <f t="shared" si="70"/>
        <v>0</v>
      </c>
      <c r="CM132" s="23">
        <f t="shared" si="71"/>
        <v>0</v>
      </c>
      <c r="CN132" s="23">
        <f t="shared" si="72"/>
        <v>0</v>
      </c>
      <c r="CO132" s="22"/>
      <c r="CP132" s="22"/>
      <c r="CQ132" s="22"/>
      <c r="CR132" s="20">
        <f t="shared" si="98"/>
        <v>0</v>
      </c>
      <c r="CS132" s="22"/>
      <c r="CT132" s="22"/>
      <c r="CU132" s="23">
        <f t="shared" si="73"/>
        <v>0</v>
      </c>
      <c r="CV132" s="23">
        <f t="shared" si="74"/>
        <v>0</v>
      </c>
      <c r="CW132" s="23">
        <f t="shared" si="75"/>
        <v>0</v>
      </c>
      <c r="CX132" s="22"/>
      <c r="CY132" s="22"/>
      <c r="CZ132" s="22"/>
      <c r="DA132" s="20">
        <f t="shared" si="99"/>
        <v>0</v>
      </c>
      <c r="DB132" s="22"/>
      <c r="DC132" s="22"/>
      <c r="DD132" s="23">
        <f t="shared" si="76"/>
        <v>0</v>
      </c>
      <c r="DE132" s="23">
        <f t="shared" si="77"/>
        <v>0</v>
      </c>
      <c r="DF132" s="23">
        <f t="shared" si="78"/>
        <v>0</v>
      </c>
      <c r="DG132" s="22"/>
      <c r="DH132" s="22"/>
      <c r="DI132" s="22"/>
      <c r="DJ132" s="20">
        <f t="shared" si="100"/>
        <v>0</v>
      </c>
      <c r="DK132" s="22"/>
      <c r="DL132" s="22"/>
      <c r="DM132" s="23">
        <f t="shared" si="79"/>
        <v>0</v>
      </c>
      <c r="DN132" s="23">
        <f t="shared" si="80"/>
        <v>0</v>
      </c>
      <c r="DO132" s="23">
        <f t="shared" si="81"/>
        <v>0</v>
      </c>
      <c r="DP132" s="22"/>
      <c r="DQ132" s="22"/>
      <c r="DR132" s="22"/>
      <c r="DS132" s="20">
        <f t="shared" si="101"/>
        <v>0</v>
      </c>
      <c r="DT132" s="22"/>
      <c r="DU132" s="22"/>
      <c r="DV132" s="23">
        <f t="shared" si="82"/>
        <v>0</v>
      </c>
      <c r="DW132" s="23">
        <f t="shared" si="83"/>
        <v>0</v>
      </c>
      <c r="DX132" s="23">
        <f t="shared" si="84"/>
        <v>0</v>
      </c>
      <c r="DY132" s="22"/>
      <c r="DZ132" s="22"/>
      <c r="EA132" s="22"/>
      <c r="EB132" s="20">
        <f t="shared" si="102"/>
        <v>0</v>
      </c>
      <c r="EC132" s="22"/>
      <c r="ED132" s="22"/>
      <c r="EE132" s="23">
        <f t="shared" si="87"/>
        <v>0</v>
      </c>
      <c r="EF132" s="23">
        <f t="shared" si="85"/>
        <v>0</v>
      </c>
      <c r="EG132" s="23">
        <f t="shared" si="86"/>
        <v>0</v>
      </c>
      <c r="EH132" s="22"/>
      <c r="EI132" s="22"/>
      <c r="EJ132" s="22"/>
      <c r="EK132" s="22"/>
      <c r="EL132" s="22"/>
      <c r="EM132" s="22"/>
      <c r="EN132" s="22"/>
      <c r="EO132" s="22"/>
      <c r="EP132" s="22"/>
      <c r="EQ132" s="22"/>
      <c r="ER132" s="22"/>
      <c r="ES132" s="22"/>
      <c r="ET132" s="22"/>
      <c r="EU132" s="22"/>
      <c r="EV132" s="22"/>
    </row>
    <row r="133" spans="1:154" ht="24" hidden="1" customHeight="1" x14ac:dyDescent="0.2">
      <c r="A133" s="19"/>
      <c r="B133" s="20"/>
      <c r="C133" s="21"/>
      <c r="D133" s="21"/>
      <c r="E133" s="22"/>
      <c r="F133" s="20">
        <f t="shared" si="88"/>
        <v>0</v>
      </c>
      <c r="G133" s="22"/>
      <c r="H133" s="22"/>
      <c r="I133" s="23">
        <f>I62*(($B62)+D62)*0.1*C62</f>
        <v>0</v>
      </c>
      <c r="J133" s="23">
        <f t="shared" si="104"/>
        <v>0</v>
      </c>
      <c r="K133" s="23">
        <f t="shared" si="105"/>
        <v>0</v>
      </c>
      <c r="L133" s="22"/>
      <c r="M133" s="22"/>
      <c r="N133" s="22"/>
      <c r="O133" s="20">
        <f t="shared" si="89"/>
        <v>0</v>
      </c>
      <c r="P133" s="22"/>
      <c r="Q133" s="22"/>
      <c r="R133" s="23">
        <f t="shared" si="46"/>
        <v>0</v>
      </c>
      <c r="S133" s="23">
        <f t="shared" si="47"/>
        <v>0</v>
      </c>
      <c r="T133" s="23">
        <f t="shared" si="48"/>
        <v>0</v>
      </c>
      <c r="U133" s="22"/>
      <c r="V133" s="22"/>
      <c r="W133" s="22"/>
      <c r="X133" s="20">
        <f t="shared" si="90"/>
        <v>0</v>
      </c>
      <c r="Y133" s="22"/>
      <c r="Z133" s="22"/>
      <c r="AA133" s="23">
        <f t="shared" si="49"/>
        <v>0</v>
      </c>
      <c r="AB133" s="23">
        <f t="shared" si="50"/>
        <v>0</v>
      </c>
      <c r="AC133" s="23">
        <f t="shared" si="51"/>
        <v>0</v>
      </c>
      <c r="AD133" s="22"/>
      <c r="AE133" s="22"/>
      <c r="AF133" s="22"/>
      <c r="AG133" s="20">
        <f t="shared" si="91"/>
        <v>0</v>
      </c>
      <c r="AH133" s="22"/>
      <c r="AI133" s="22"/>
      <c r="AJ133" s="23">
        <f t="shared" si="52"/>
        <v>0</v>
      </c>
      <c r="AK133" s="23">
        <f t="shared" si="53"/>
        <v>0</v>
      </c>
      <c r="AL133" s="23">
        <f t="shared" si="54"/>
        <v>0</v>
      </c>
      <c r="AM133" s="22"/>
      <c r="AN133" s="22"/>
      <c r="AO133" s="22"/>
      <c r="AP133" s="20">
        <f t="shared" si="92"/>
        <v>0</v>
      </c>
      <c r="AQ133" s="22"/>
      <c r="AR133" s="22"/>
      <c r="AS133" s="23">
        <f t="shared" si="55"/>
        <v>0</v>
      </c>
      <c r="AT133" s="23">
        <f t="shared" si="56"/>
        <v>0</v>
      </c>
      <c r="AU133" s="23">
        <f t="shared" si="57"/>
        <v>0</v>
      </c>
      <c r="AV133" s="22"/>
      <c r="AW133" s="22"/>
      <c r="AX133" s="22"/>
      <c r="AY133" s="20">
        <f t="shared" si="93"/>
        <v>0</v>
      </c>
      <c r="AZ133" s="22"/>
      <c r="BA133" s="22"/>
      <c r="BB133" s="23">
        <f t="shared" si="58"/>
        <v>0</v>
      </c>
      <c r="BC133" s="23">
        <f t="shared" si="59"/>
        <v>0</v>
      </c>
      <c r="BD133" s="23">
        <f t="shared" si="60"/>
        <v>0</v>
      </c>
      <c r="BE133" s="22"/>
      <c r="BF133" s="22"/>
      <c r="BG133" s="22"/>
      <c r="BH133" s="20">
        <f t="shared" si="94"/>
        <v>0</v>
      </c>
      <c r="BI133" s="22"/>
      <c r="BJ133" s="22"/>
      <c r="BK133" s="23">
        <f t="shared" si="61"/>
        <v>0</v>
      </c>
      <c r="BL133" s="23">
        <f t="shared" si="62"/>
        <v>0</v>
      </c>
      <c r="BM133" s="23">
        <f t="shared" si="63"/>
        <v>0</v>
      </c>
      <c r="BN133" s="22"/>
      <c r="BO133" s="22"/>
      <c r="BP133" s="22"/>
      <c r="BQ133" s="20">
        <f t="shared" si="95"/>
        <v>0</v>
      </c>
      <c r="BR133" s="22"/>
      <c r="BS133" s="22"/>
      <c r="BT133" s="23">
        <f t="shared" si="64"/>
        <v>0</v>
      </c>
      <c r="BU133" s="23">
        <f t="shared" si="65"/>
        <v>0</v>
      </c>
      <c r="BV133" s="23">
        <f t="shared" si="66"/>
        <v>0</v>
      </c>
      <c r="BW133" s="22"/>
      <c r="BX133" s="22"/>
      <c r="BY133" s="22"/>
      <c r="BZ133" s="20">
        <f t="shared" si="96"/>
        <v>0</v>
      </c>
      <c r="CA133" s="22"/>
      <c r="CB133" s="22"/>
      <c r="CC133" s="23">
        <f t="shared" si="67"/>
        <v>0</v>
      </c>
      <c r="CD133" s="23">
        <f t="shared" si="68"/>
        <v>0</v>
      </c>
      <c r="CE133" s="23">
        <f t="shared" si="69"/>
        <v>0</v>
      </c>
      <c r="CF133" s="22"/>
      <c r="CG133" s="22"/>
      <c r="CH133" s="22"/>
      <c r="CI133" s="20">
        <f t="shared" si="97"/>
        <v>0</v>
      </c>
      <c r="CJ133" s="22"/>
      <c r="CK133" s="22"/>
      <c r="CL133" s="23">
        <f t="shared" si="70"/>
        <v>0</v>
      </c>
      <c r="CM133" s="23">
        <f t="shared" si="71"/>
        <v>0</v>
      </c>
      <c r="CN133" s="23">
        <f t="shared" si="72"/>
        <v>0</v>
      </c>
      <c r="CO133" s="22"/>
      <c r="CP133" s="22"/>
      <c r="CQ133" s="22"/>
      <c r="CR133" s="20">
        <f t="shared" si="98"/>
        <v>0</v>
      </c>
      <c r="CS133" s="22"/>
      <c r="CT133" s="22"/>
      <c r="CU133" s="23">
        <f t="shared" si="73"/>
        <v>0</v>
      </c>
      <c r="CV133" s="23">
        <f t="shared" si="74"/>
        <v>0</v>
      </c>
      <c r="CW133" s="23">
        <f t="shared" si="75"/>
        <v>0</v>
      </c>
      <c r="CX133" s="22"/>
      <c r="CY133" s="22"/>
      <c r="CZ133" s="22"/>
      <c r="DA133" s="20">
        <f t="shared" si="99"/>
        <v>0</v>
      </c>
      <c r="DB133" s="22"/>
      <c r="DC133" s="22"/>
      <c r="DD133" s="23">
        <f t="shared" si="76"/>
        <v>0</v>
      </c>
      <c r="DE133" s="23">
        <f t="shared" si="77"/>
        <v>0</v>
      </c>
      <c r="DF133" s="23">
        <f t="shared" si="78"/>
        <v>0</v>
      </c>
      <c r="DG133" s="22"/>
      <c r="DH133" s="22"/>
      <c r="DI133" s="22"/>
      <c r="DJ133" s="20">
        <f t="shared" si="100"/>
        <v>0</v>
      </c>
      <c r="DK133" s="22"/>
      <c r="DL133" s="22"/>
      <c r="DM133" s="23">
        <f t="shared" si="79"/>
        <v>0</v>
      </c>
      <c r="DN133" s="23">
        <f t="shared" si="80"/>
        <v>0</v>
      </c>
      <c r="DO133" s="23">
        <f t="shared" si="81"/>
        <v>0</v>
      </c>
      <c r="DP133" s="22"/>
      <c r="DQ133" s="22"/>
      <c r="DR133" s="22"/>
      <c r="DS133" s="20">
        <f t="shared" si="101"/>
        <v>0</v>
      </c>
      <c r="DT133" s="22"/>
      <c r="DU133" s="22"/>
      <c r="DV133" s="23">
        <f t="shared" si="82"/>
        <v>0</v>
      </c>
      <c r="DW133" s="23">
        <f t="shared" si="83"/>
        <v>0</v>
      </c>
      <c r="DX133" s="23">
        <f t="shared" si="84"/>
        <v>0</v>
      </c>
      <c r="DY133" s="22"/>
      <c r="DZ133" s="22"/>
      <c r="EA133" s="22"/>
      <c r="EB133" s="20">
        <f t="shared" si="102"/>
        <v>0</v>
      </c>
      <c r="EC133" s="22"/>
      <c r="ED133" s="22"/>
      <c r="EE133" s="23">
        <f t="shared" si="87"/>
        <v>0</v>
      </c>
      <c r="EF133" s="23">
        <f t="shared" si="85"/>
        <v>0</v>
      </c>
      <c r="EG133" s="23">
        <f t="shared" si="86"/>
        <v>0</v>
      </c>
      <c r="EH133" s="22"/>
      <c r="EI133" s="22"/>
      <c r="EJ133" s="22"/>
      <c r="EK133" s="22"/>
      <c r="EL133" s="22"/>
      <c r="EM133" s="22"/>
      <c r="EN133" s="22"/>
      <c r="EO133" s="22"/>
      <c r="EP133" s="22"/>
      <c r="EQ133" s="22"/>
      <c r="ER133" s="22"/>
      <c r="ES133" s="22"/>
      <c r="ET133" s="22"/>
      <c r="EU133" s="22"/>
      <c r="EV133" s="22"/>
    </row>
    <row r="134" spans="1:154" ht="23.25" hidden="1" customHeight="1" x14ac:dyDescent="0.2">
      <c r="A134" s="19"/>
      <c r="B134" s="20"/>
      <c r="C134" s="21"/>
      <c r="D134" s="21"/>
      <c r="E134" s="22"/>
      <c r="F134" s="20">
        <f t="shared" si="88"/>
        <v>0</v>
      </c>
      <c r="G134" s="22"/>
      <c r="H134" s="22"/>
      <c r="I134" s="23"/>
      <c r="J134" s="23"/>
      <c r="K134" s="23"/>
      <c r="L134" s="22"/>
      <c r="M134" s="22"/>
      <c r="N134" s="22"/>
      <c r="O134" s="20">
        <f t="shared" si="89"/>
        <v>0</v>
      </c>
      <c r="P134" s="22"/>
      <c r="Q134" s="22"/>
      <c r="R134" s="22"/>
      <c r="S134" s="22"/>
      <c r="T134" s="22"/>
      <c r="U134" s="22"/>
      <c r="V134" s="22"/>
      <c r="W134" s="22"/>
      <c r="X134" s="20">
        <f t="shared" si="90"/>
        <v>0</v>
      </c>
      <c r="Y134" s="22"/>
      <c r="Z134" s="22"/>
      <c r="AA134" s="22"/>
      <c r="AB134" s="22"/>
      <c r="AC134" s="22"/>
      <c r="AD134" s="22"/>
      <c r="AE134" s="22"/>
      <c r="AF134" s="22"/>
      <c r="AG134" s="20">
        <f t="shared" si="91"/>
        <v>0</v>
      </c>
      <c r="AH134" s="22"/>
      <c r="AI134" s="22"/>
      <c r="AJ134" s="22"/>
      <c r="AK134" s="22"/>
      <c r="AL134" s="22"/>
      <c r="AM134" s="22"/>
      <c r="AN134" s="22"/>
      <c r="AO134" s="22"/>
      <c r="AP134" s="20">
        <f t="shared" si="92"/>
        <v>0</v>
      </c>
      <c r="AQ134" s="22"/>
      <c r="AR134" s="22"/>
      <c r="AS134" s="22"/>
      <c r="AT134" s="22"/>
      <c r="AU134" s="22"/>
      <c r="AV134" s="22"/>
      <c r="AW134" s="22"/>
      <c r="AX134" s="22"/>
      <c r="AY134" s="20">
        <f t="shared" si="93"/>
        <v>0</v>
      </c>
      <c r="AZ134" s="22"/>
      <c r="BA134" s="22"/>
      <c r="BB134" s="22"/>
      <c r="BC134" s="22"/>
      <c r="BD134" s="22"/>
      <c r="BE134" s="22"/>
      <c r="BF134" s="22"/>
      <c r="BG134" s="22"/>
      <c r="BH134" s="20">
        <f t="shared" si="94"/>
        <v>0</v>
      </c>
      <c r="BI134" s="22"/>
      <c r="BJ134" s="22"/>
      <c r="BK134" s="22"/>
      <c r="BL134" s="22"/>
      <c r="BM134" s="22"/>
      <c r="BN134" s="22"/>
      <c r="BO134" s="22"/>
      <c r="BP134" s="22"/>
      <c r="BQ134" s="20">
        <f t="shared" si="95"/>
        <v>0</v>
      </c>
      <c r="BR134" s="22"/>
      <c r="BS134" s="22"/>
      <c r="BT134" s="22"/>
      <c r="BU134" s="22"/>
      <c r="BV134" s="22"/>
      <c r="BW134" s="22"/>
      <c r="BX134" s="22"/>
      <c r="BY134" s="22"/>
      <c r="BZ134" s="20">
        <f t="shared" si="96"/>
        <v>0</v>
      </c>
      <c r="CA134" s="22"/>
      <c r="CB134" s="22"/>
      <c r="CC134" s="22"/>
      <c r="CD134" s="22"/>
      <c r="CE134" s="22"/>
      <c r="CF134" s="22"/>
      <c r="CG134" s="22"/>
      <c r="CH134" s="22"/>
      <c r="CI134" s="20">
        <f t="shared" si="97"/>
        <v>0</v>
      </c>
      <c r="CJ134" s="22"/>
      <c r="CK134" s="22"/>
      <c r="CL134" s="22"/>
      <c r="CM134" s="22"/>
      <c r="CN134" s="22"/>
      <c r="CO134" s="22"/>
      <c r="CP134" s="22"/>
      <c r="CQ134" s="22"/>
      <c r="CR134" s="20">
        <f t="shared" si="98"/>
        <v>0</v>
      </c>
      <c r="CS134" s="22"/>
      <c r="CT134" s="22"/>
      <c r="CU134" s="22"/>
      <c r="CV134" s="22"/>
      <c r="CW134" s="22"/>
      <c r="CX134" s="22"/>
      <c r="CY134" s="22"/>
      <c r="CZ134" s="22"/>
      <c r="DA134" s="20">
        <f t="shared" si="99"/>
        <v>0</v>
      </c>
      <c r="DB134" s="22"/>
      <c r="DC134" s="22"/>
      <c r="DD134" s="22"/>
      <c r="DE134" s="22"/>
      <c r="DF134" s="22"/>
      <c r="DG134" s="22"/>
      <c r="DH134" s="22"/>
      <c r="DI134" s="22"/>
      <c r="DJ134" s="20">
        <f t="shared" si="100"/>
        <v>0</v>
      </c>
      <c r="DK134" s="22"/>
      <c r="DL134" s="22"/>
      <c r="DM134" s="22"/>
      <c r="DN134" s="22"/>
      <c r="DO134" s="22"/>
      <c r="DP134" s="22"/>
      <c r="DQ134" s="22"/>
      <c r="DR134" s="22"/>
      <c r="DS134" s="20">
        <f t="shared" si="101"/>
        <v>0</v>
      </c>
      <c r="DT134" s="22"/>
      <c r="DU134" s="22"/>
      <c r="DV134" s="22"/>
      <c r="DW134" s="22"/>
      <c r="DX134" s="22"/>
      <c r="DY134" s="22"/>
      <c r="DZ134" s="22"/>
      <c r="EA134" s="22"/>
      <c r="EB134" s="20">
        <f t="shared" si="102"/>
        <v>0</v>
      </c>
      <c r="EC134" s="22"/>
      <c r="ED134" s="22"/>
      <c r="EE134" s="22"/>
      <c r="EF134" s="22"/>
      <c r="EG134" s="22"/>
      <c r="EH134" s="22"/>
      <c r="EI134" s="22"/>
      <c r="EJ134" s="22"/>
      <c r="EK134" s="22"/>
      <c r="EL134" s="22"/>
      <c r="EM134" s="22"/>
      <c r="EN134" s="22"/>
      <c r="EO134" s="22"/>
      <c r="EP134" s="22"/>
      <c r="EQ134" s="22"/>
      <c r="ER134" s="22"/>
      <c r="ES134" s="22"/>
      <c r="ET134" s="22"/>
      <c r="EU134" s="22"/>
      <c r="EV134" s="22"/>
    </row>
    <row r="135" spans="1:154" ht="21" hidden="1" customHeight="1" x14ac:dyDescent="0.2">
      <c r="A135" s="19"/>
      <c r="B135" s="20"/>
      <c r="C135" s="21"/>
      <c r="D135" s="21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22"/>
      <c r="CI135" s="22"/>
      <c r="CJ135" s="22"/>
      <c r="CK135" s="22"/>
      <c r="CL135" s="22"/>
      <c r="CM135" s="22"/>
      <c r="CN135" s="22"/>
      <c r="CO135" s="22"/>
      <c r="CP135" s="22"/>
      <c r="CQ135" s="22"/>
      <c r="CR135" s="22"/>
      <c r="CS135" s="22"/>
      <c r="CT135" s="22"/>
      <c r="CU135" s="22"/>
      <c r="CV135" s="22"/>
      <c r="CW135" s="22"/>
      <c r="CX135" s="22"/>
      <c r="CY135" s="22"/>
      <c r="CZ135" s="22"/>
      <c r="DA135" s="22"/>
      <c r="DB135" s="22"/>
      <c r="DC135" s="22"/>
      <c r="DD135" s="22"/>
      <c r="DE135" s="22"/>
      <c r="DF135" s="22"/>
      <c r="DG135" s="22"/>
      <c r="DH135" s="22"/>
      <c r="DI135" s="22"/>
      <c r="DJ135" s="22"/>
      <c r="DK135" s="22"/>
      <c r="DL135" s="22"/>
      <c r="DM135" s="22"/>
      <c r="DN135" s="22"/>
      <c r="DO135" s="22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D135" s="22"/>
      <c r="EE135" s="22"/>
      <c r="EF135" s="22"/>
      <c r="EG135" s="22"/>
      <c r="EH135" s="22"/>
      <c r="EI135" s="22"/>
      <c r="EJ135" s="22"/>
      <c r="EK135" s="22"/>
      <c r="EL135" s="22"/>
      <c r="EM135" s="22"/>
      <c r="EN135" s="22"/>
      <c r="EO135" s="22"/>
      <c r="EP135" s="22"/>
      <c r="EQ135" s="22"/>
      <c r="ER135" s="22"/>
      <c r="ES135" s="22"/>
      <c r="ET135" s="22"/>
      <c r="EU135" s="22"/>
      <c r="EV135" s="22"/>
    </row>
    <row r="136" spans="1:154" ht="21.75" hidden="1" customHeight="1" x14ac:dyDescent="0.2">
      <c r="A136" s="19"/>
      <c r="B136" s="20"/>
      <c r="C136" s="21"/>
      <c r="D136" s="21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22"/>
      <c r="BT136" s="22"/>
      <c r="BU136" s="22"/>
      <c r="BV136" s="22"/>
      <c r="BW136" s="22"/>
      <c r="BX136" s="22"/>
      <c r="BY136" s="22"/>
      <c r="BZ136" s="22"/>
      <c r="CA136" s="22"/>
      <c r="CB136" s="22"/>
      <c r="CC136" s="22"/>
      <c r="CD136" s="22"/>
      <c r="CE136" s="22"/>
      <c r="CF136" s="22"/>
      <c r="CG136" s="22"/>
      <c r="CH136" s="22"/>
      <c r="CI136" s="22"/>
      <c r="CJ136" s="22"/>
      <c r="CK136" s="22"/>
      <c r="CL136" s="22"/>
      <c r="CM136" s="22"/>
      <c r="CN136" s="22"/>
      <c r="CO136" s="22"/>
      <c r="CP136" s="22"/>
      <c r="CQ136" s="22"/>
      <c r="CR136" s="22"/>
      <c r="CS136" s="22"/>
      <c r="CT136" s="22"/>
      <c r="CU136" s="22"/>
      <c r="CV136" s="22"/>
      <c r="CW136" s="22"/>
      <c r="CX136" s="22"/>
      <c r="CY136" s="22"/>
      <c r="CZ136" s="22"/>
      <c r="DA136" s="22"/>
      <c r="DB136" s="22"/>
      <c r="DC136" s="22"/>
      <c r="DD136" s="22"/>
      <c r="DE136" s="22"/>
      <c r="DF136" s="22"/>
      <c r="DG136" s="22"/>
      <c r="DH136" s="22"/>
      <c r="DI136" s="22"/>
      <c r="DJ136" s="22"/>
      <c r="DK136" s="22"/>
      <c r="DL136" s="22"/>
      <c r="DM136" s="22"/>
      <c r="DN136" s="22"/>
      <c r="DO136" s="22"/>
      <c r="DP136" s="22"/>
      <c r="DQ136" s="22"/>
      <c r="DR136" s="22"/>
      <c r="DS136" s="22"/>
      <c r="DT136" s="22"/>
      <c r="DU136" s="22"/>
      <c r="DV136" s="22"/>
      <c r="DW136" s="22"/>
      <c r="DX136" s="22"/>
      <c r="DY136" s="22"/>
      <c r="DZ136" s="22"/>
      <c r="EA136" s="22"/>
      <c r="EB136" s="22"/>
      <c r="EC136" s="22"/>
      <c r="ED136" s="22"/>
      <c r="EE136" s="22"/>
      <c r="EF136" s="22"/>
      <c r="EG136" s="22"/>
      <c r="EH136" s="22"/>
      <c r="EI136" s="22"/>
      <c r="EJ136" s="22"/>
      <c r="EK136" s="22"/>
      <c r="EL136" s="22"/>
      <c r="EM136" s="22"/>
      <c r="EN136" s="22"/>
      <c r="EO136" s="22"/>
      <c r="EP136" s="22"/>
      <c r="EQ136" s="22"/>
      <c r="ER136" s="22"/>
      <c r="ES136" s="22"/>
      <c r="ET136" s="22"/>
      <c r="EU136" s="22"/>
      <c r="EV136" s="22"/>
    </row>
    <row r="137" spans="1:154" ht="19.5" customHeight="1" x14ac:dyDescent="0.2"/>
    <row r="138" spans="1:154" ht="20.25" customHeight="1" x14ac:dyDescent="0.2"/>
    <row r="139" spans="1:154" s="234" customFormat="1" ht="18.75" customHeight="1" x14ac:dyDescent="0.2">
      <c r="A139" s="234" t="s">
        <v>35</v>
      </c>
      <c r="B139" s="235"/>
      <c r="C139" s="236"/>
      <c r="D139" s="236"/>
      <c r="EW139" s="237"/>
      <c r="EX139" s="237"/>
    </row>
    <row r="140" spans="1:154" s="234" customFormat="1" ht="19.5" customHeight="1" x14ac:dyDescent="0.25">
      <c r="A140" s="238" t="s">
        <v>34</v>
      </c>
      <c r="B140" s="235"/>
      <c r="C140" s="236"/>
      <c r="D140" s="236"/>
      <c r="EW140" s="237"/>
      <c r="EX140" s="237"/>
    </row>
    <row r="141" spans="1:154" s="234" customFormat="1" ht="15" customHeight="1" x14ac:dyDescent="0.2">
      <c r="B141" s="235"/>
      <c r="C141" s="239"/>
      <c r="D141" s="239"/>
      <c r="E141" s="240"/>
      <c r="F141" s="240"/>
      <c r="G141" s="240"/>
      <c r="H141" s="240"/>
      <c r="I141" s="240"/>
      <c r="J141" s="240"/>
      <c r="K141" s="240"/>
      <c r="L141" s="240"/>
      <c r="M141" s="240"/>
      <c r="N141" s="240"/>
      <c r="EW141" s="237"/>
      <c r="EX141" s="237"/>
    </row>
    <row r="142" spans="1:154" s="241" customFormat="1" ht="18" customHeight="1" x14ac:dyDescent="0.2">
      <c r="A142" s="241" t="s">
        <v>35</v>
      </c>
      <c r="C142" s="242"/>
      <c r="D142" s="242"/>
      <c r="E142" s="243"/>
      <c r="F142" s="244" t="s">
        <v>1</v>
      </c>
      <c r="G142" s="245" t="s">
        <v>2</v>
      </c>
      <c r="H142" s="244" t="s">
        <v>3</v>
      </c>
      <c r="I142" s="244">
        <v>0</v>
      </c>
      <c r="J142" s="246">
        <v>0.1</v>
      </c>
      <c r="K142" s="246">
        <v>0.5</v>
      </c>
      <c r="L142" s="246">
        <v>1</v>
      </c>
      <c r="M142" s="246"/>
      <c r="N142" s="244" t="s">
        <v>1</v>
      </c>
      <c r="O142" s="245" t="s">
        <v>2</v>
      </c>
      <c r="P142" s="244" t="s">
        <v>3</v>
      </c>
      <c r="Q142" s="244">
        <v>0</v>
      </c>
      <c r="R142" s="246">
        <v>0.1</v>
      </c>
      <c r="S142" s="246">
        <v>0.5</v>
      </c>
      <c r="T142" s="246">
        <v>1</v>
      </c>
      <c r="U142" s="245"/>
      <c r="V142" s="244"/>
      <c r="W142" s="244"/>
      <c r="X142" s="246"/>
      <c r="Y142" s="246"/>
      <c r="Z142" s="246"/>
      <c r="EW142" s="247"/>
      <c r="EX142" s="247"/>
    </row>
    <row r="143" spans="1:154" s="241" customFormat="1" ht="18" customHeight="1" x14ac:dyDescent="0.2">
      <c r="A143" s="248">
        <f t="shared" ref="A143:A174" si="106">EH4</f>
        <v>0</v>
      </c>
      <c r="B143" s="241" t="str">
        <f t="shared" ref="B143:B174" si="107">A4</f>
        <v>Übung 1</v>
      </c>
      <c r="C143" s="242"/>
      <c r="D143" s="242"/>
      <c r="E143" s="249" t="e">
        <f t="shared" ref="E143:E174" si="108">EX4</f>
        <v>#DIV/0!</v>
      </c>
      <c r="F143" s="250" t="e">
        <f t="shared" ref="F143:F174" si="109">EI4/$EH4</f>
        <v>#DIV/0!</v>
      </c>
      <c r="G143" s="250" t="e">
        <f t="shared" ref="G143:G174" si="110">EJ4/$EH4</f>
        <v>#DIV/0!</v>
      </c>
      <c r="H143" s="250" t="e">
        <f t="shared" ref="H143:H174" si="111">EK4/$EH4</f>
        <v>#DIV/0!</v>
      </c>
      <c r="I143" s="250" t="e">
        <f t="shared" ref="I143:I174" si="112">EL4/$EH4</f>
        <v>#DIV/0!</v>
      </c>
      <c r="J143" s="250" t="e">
        <f t="shared" ref="J143:J174" si="113">EM4/$EH4</f>
        <v>#DIV/0!</v>
      </c>
      <c r="K143" s="250" t="e">
        <f t="shared" ref="K143:K174" si="114">EN4/$EH4</f>
        <v>#DIV/0!</v>
      </c>
      <c r="L143" s="250" t="e">
        <f t="shared" ref="L143:L174" si="115">EO4/$EH4</f>
        <v>#DIV/0!</v>
      </c>
      <c r="M143" s="250"/>
      <c r="N143" s="251" t="e">
        <f>EP4/$EH4</f>
        <v>#DIV/0!</v>
      </c>
      <c r="O143" s="251" t="e">
        <f t="shared" ref="O143:T143" si="116">EQ4/$EH4</f>
        <v>#DIV/0!</v>
      </c>
      <c r="P143" s="251" t="e">
        <f t="shared" si="116"/>
        <v>#DIV/0!</v>
      </c>
      <c r="Q143" s="251" t="e">
        <f t="shared" si="116"/>
        <v>#DIV/0!</v>
      </c>
      <c r="R143" s="251" t="e">
        <f t="shared" si="116"/>
        <v>#DIV/0!</v>
      </c>
      <c r="S143" s="251" t="e">
        <f t="shared" si="116"/>
        <v>#DIV/0!</v>
      </c>
      <c r="T143" s="251" t="e">
        <f t="shared" si="116"/>
        <v>#DIV/0!</v>
      </c>
      <c r="EW143" s="247"/>
      <c r="EX143" s="247"/>
    </row>
    <row r="144" spans="1:154" s="153" customFormat="1" ht="18" hidden="1" customHeight="1" x14ac:dyDescent="0.2">
      <c r="A144" s="170">
        <f t="shared" si="106"/>
        <v>0</v>
      </c>
      <c r="B144" s="153">
        <f t="shared" si="107"/>
        <v>0</v>
      </c>
      <c r="C144" s="168"/>
      <c r="D144" s="168"/>
      <c r="E144" s="169" t="e">
        <f t="shared" si="108"/>
        <v>#DIV/0!</v>
      </c>
      <c r="F144" s="167" t="e">
        <f t="shared" si="109"/>
        <v>#DIV/0!</v>
      </c>
      <c r="G144" s="167" t="e">
        <f t="shared" si="110"/>
        <v>#DIV/0!</v>
      </c>
      <c r="H144" s="167" t="e">
        <f t="shared" si="111"/>
        <v>#DIV/0!</v>
      </c>
      <c r="I144" s="167" t="e">
        <f t="shared" si="112"/>
        <v>#DIV/0!</v>
      </c>
      <c r="J144" s="167" t="e">
        <f t="shared" si="113"/>
        <v>#DIV/0!</v>
      </c>
      <c r="K144" s="167" t="e">
        <f t="shared" si="114"/>
        <v>#DIV/0!</v>
      </c>
      <c r="L144" s="167" t="e">
        <f t="shared" si="115"/>
        <v>#DIV/0!</v>
      </c>
      <c r="M144" s="167"/>
      <c r="N144" s="172" t="e">
        <f t="shared" ref="N144:N201" si="117">EP5/$EH5</f>
        <v>#DIV/0!</v>
      </c>
      <c r="O144" s="172" t="e">
        <f t="shared" ref="O144:O201" si="118">EQ5/$EH5</f>
        <v>#DIV/0!</v>
      </c>
      <c r="P144" s="172" t="e">
        <f t="shared" ref="P144:P201" si="119">ER5/$EH5</f>
        <v>#DIV/0!</v>
      </c>
      <c r="Q144" s="172" t="e">
        <f t="shared" ref="Q144:Q201" si="120">ES5/$EH5</f>
        <v>#DIV/0!</v>
      </c>
      <c r="R144" s="172" t="e">
        <f t="shared" ref="R144:R201" si="121">ET5/$EH5</f>
        <v>#DIV/0!</v>
      </c>
      <c r="S144" s="172" t="e">
        <f t="shared" ref="S144:S201" si="122">EU5/$EH5</f>
        <v>#DIV/0!</v>
      </c>
      <c r="T144" s="172" t="e">
        <f t="shared" ref="T144:T201" si="123">EV5/$EH5</f>
        <v>#DIV/0!</v>
      </c>
      <c r="EW144" s="166"/>
      <c r="EX144" s="166"/>
    </row>
    <row r="145" spans="1:154" s="241" customFormat="1" ht="18" customHeight="1" x14ac:dyDescent="0.2">
      <c r="A145" s="248">
        <f t="shared" si="106"/>
        <v>0</v>
      </c>
      <c r="B145" s="241" t="str">
        <f t="shared" si="107"/>
        <v>Übung 2</v>
      </c>
      <c r="C145" s="242"/>
      <c r="D145" s="242"/>
      <c r="E145" s="249" t="e">
        <f t="shared" si="108"/>
        <v>#DIV/0!</v>
      </c>
      <c r="F145" s="250" t="e">
        <f t="shared" si="109"/>
        <v>#DIV/0!</v>
      </c>
      <c r="G145" s="250" t="e">
        <f t="shared" si="110"/>
        <v>#DIV/0!</v>
      </c>
      <c r="H145" s="250" t="e">
        <f t="shared" si="111"/>
        <v>#DIV/0!</v>
      </c>
      <c r="I145" s="250" t="e">
        <f t="shared" si="112"/>
        <v>#DIV/0!</v>
      </c>
      <c r="J145" s="250" t="e">
        <f t="shared" si="113"/>
        <v>#DIV/0!</v>
      </c>
      <c r="K145" s="250" t="e">
        <f t="shared" si="114"/>
        <v>#DIV/0!</v>
      </c>
      <c r="L145" s="250" t="e">
        <f t="shared" si="115"/>
        <v>#DIV/0!</v>
      </c>
      <c r="M145" s="250"/>
      <c r="N145" s="251" t="e">
        <f t="shared" si="117"/>
        <v>#DIV/0!</v>
      </c>
      <c r="O145" s="251" t="e">
        <f t="shared" si="118"/>
        <v>#DIV/0!</v>
      </c>
      <c r="P145" s="251" t="e">
        <f t="shared" si="119"/>
        <v>#DIV/0!</v>
      </c>
      <c r="Q145" s="251" t="e">
        <f t="shared" si="120"/>
        <v>#DIV/0!</v>
      </c>
      <c r="R145" s="251" t="e">
        <f t="shared" si="121"/>
        <v>#DIV/0!</v>
      </c>
      <c r="S145" s="251" t="e">
        <f t="shared" si="122"/>
        <v>#DIV/0!</v>
      </c>
      <c r="T145" s="251" t="e">
        <f t="shared" si="123"/>
        <v>#DIV/0!</v>
      </c>
      <c r="EW145" s="247"/>
      <c r="EX145" s="247"/>
    </row>
    <row r="146" spans="1:154" s="153" customFormat="1" ht="18" hidden="1" customHeight="1" x14ac:dyDescent="0.2">
      <c r="A146" s="170">
        <f t="shared" si="106"/>
        <v>0</v>
      </c>
      <c r="B146" s="153">
        <f t="shared" si="107"/>
        <v>0</v>
      </c>
      <c r="C146" s="168"/>
      <c r="D146" s="168"/>
      <c r="E146" s="169" t="e">
        <f t="shared" si="108"/>
        <v>#DIV/0!</v>
      </c>
      <c r="F146" s="167" t="e">
        <f t="shared" si="109"/>
        <v>#DIV/0!</v>
      </c>
      <c r="G146" s="167" t="e">
        <f t="shared" si="110"/>
        <v>#DIV/0!</v>
      </c>
      <c r="H146" s="167" t="e">
        <f t="shared" si="111"/>
        <v>#DIV/0!</v>
      </c>
      <c r="I146" s="167" t="e">
        <f t="shared" si="112"/>
        <v>#DIV/0!</v>
      </c>
      <c r="J146" s="167" t="e">
        <f t="shared" si="113"/>
        <v>#DIV/0!</v>
      </c>
      <c r="K146" s="167" t="e">
        <f t="shared" si="114"/>
        <v>#DIV/0!</v>
      </c>
      <c r="L146" s="167" t="e">
        <f t="shared" si="115"/>
        <v>#DIV/0!</v>
      </c>
      <c r="M146" s="167"/>
      <c r="N146" s="172" t="e">
        <f t="shared" si="117"/>
        <v>#DIV/0!</v>
      </c>
      <c r="O146" s="172" t="e">
        <f t="shared" si="118"/>
        <v>#DIV/0!</v>
      </c>
      <c r="P146" s="172" t="e">
        <f t="shared" si="119"/>
        <v>#DIV/0!</v>
      </c>
      <c r="Q146" s="172" t="e">
        <f t="shared" si="120"/>
        <v>#DIV/0!</v>
      </c>
      <c r="R146" s="172" t="e">
        <f t="shared" si="121"/>
        <v>#DIV/0!</v>
      </c>
      <c r="S146" s="172" t="e">
        <f t="shared" si="122"/>
        <v>#DIV/0!</v>
      </c>
      <c r="T146" s="172" t="e">
        <f t="shared" si="123"/>
        <v>#DIV/0!</v>
      </c>
      <c r="EW146" s="166"/>
      <c r="EX146" s="166"/>
    </row>
    <row r="147" spans="1:154" s="241" customFormat="1" ht="18" customHeight="1" x14ac:dyDescent="0.2">
      <c r="A147" s="248">
        <f t="shared" si="106"/>
        <v>0</v>
      </c>
      <c r="B147" s="241" t="str">
        <f t="shared" si="107"/>
        <v>Übung 3</v>
      </c>
      <c r="C147" s="242"/>
      <c r="D147" s="242"/>
      <c r="E147" s="249" t="e">
        <f t="shared" si="108"/>
        <v>#DIV/0!</v>
      </c>
      <c r="F147" s="250" t="e">
        <f t="shared" si="109"/>
        <v>#DIV/0!</v>
      </c>
      <c r="G147" s="250" t="e">
        <f t="shared" si="110"/>
        <v>#DIV/0!</v>
      </c>
      <c r="H147" s="250" t="e">
        <f t="shared" si="111"/>
        <v>#DIV/0!</v>
      </c>
      <c r="I147" s="250" t="e">
        <f t="shared" si="112"/>
        <v>#DIV/0!</v>
      </c>
      <c r="J147" s="250" t="e">
        <f t="shared" si="113"/>
        <v>#DIV/0!</v>
      </c>
      <c r="K147" s="250" t="e">
        <f t="shared" si="114"/>
        <v>#DIV/0!</v>
      </c>
      <c r="L147" s="250" t="e">
        <f t="shared" si="115"/>
        <v>#DIV/0!</v>
      </c>
      <c r="M147" s="250"/>
      <c r="N147" s="251" t="e">
        <f t="shared" si="117"/>
        <v>#DIV/0!</v>
      </c>
      <c r="O147" s="251" t="e">
        <f t="shared" si="118"/>
        <v>#DIV/0!</v>
      </c>
      <c r="P147" s="251" t="e">
        <f t="shared" si="119"/>
        <v>#DIV/0!</v>
      </c>
      <c r="Q147" s="251" t="e">
        <f t="shared" si="120"/>
        <v>#DIV/0!</v>
      </c>
      <c r="R147" s="251" t="e">
        <f t="shared" si="121"/>
        <v>#DIV/0!</v>
      </c>
      <c r="S147" s="251" t="e">
        <f t="shared" si="122"/>
        <v>#DIV/0!</v>
      </c>
      <c r="T147" s="251" t="e">
        <f t="shared" si="123"/>
        <v>#DIV/0!</v>
      </c>
      <c r="EW147" s="247"/>
      <c r="EX147" s="247"/>
    </row>
    <row r="148" spans="1:154" s="153" customFormat="1" ht="18" hidden="1" customHeight="1" x14ac:dyDescent="0.2">
      <c r="A148" s="170">
        <f t="shared" si="106"/>
        <v>0</v>
      </c>
      <c r="B148" s="153">
        <f t="shared" si="107"/>
        <v>0</v>
      </c>
      <c r="C148" s="168"/>
      <c r="D148" s="168"/>
      <c r="E148" s="171" t="e">
        <f t="shared" si="108"/>
        <v>#DIV/0!</v>
      </c>
      <c r="F148" s="167" t="e">
        <f t="shared" si="109"/>
        <v>#DIV/0!</v>
      </c>
      <c r="G148" s="167" t="e">
        <f t="shared" si="110"/>
        <v>#DIV/0!</v>
      </c>
      <c r="H148" s="167" t="e">
        <f t="shared" si="111"/>
        <v>#DIV/0!</v>
      </c>
      <c r="I148" s="167" t="e">
        <f t="shared" si="112"/>
        <v>#DIV/0!</v>
      </c>
      <c r="J148" s="167" t="e">
        <f t="shared" si="113"/>
        <v>#DIV/0!</v>
      </c>
      <c r="K148" s="167" t="e">
        <f t="shared" si="114"/>
        <v>#DIV/0!</v>
      </c>
      <c r="L148" s="167" t="e">
        <f t="shared" si="115"/>
        <v>#DIV/0!</v>
      </c>
      <c r="M148" s="167"/>
      <c r="N148" s="172" t="e">
        <f t="shared" si="117"/>
        <v>#DIV/0!</v>
      </c>
      <c r="O148" s="172" t="e">
        <f t="shared" si="118"/>
        <v>#DIV/0!</v>
      </c>
      <c r="P148" s="172" t="e">
        <f t="shared" si="119"/>
        <v>#DIV/0!</v>
      </c>
      <c r="Q148" s="172" t="e">
        <f t="shared" si="120"/>
        <v>#DIV/0!</v>
      </c>
      <c r="R148" s="172" t="e">
        <f t="shared" si="121"/>
        <v>#DIV/0!</v>
      </c>
      <c r="S148" s="172" t="e">
        <f t="shared" si="122"/>
        <v>#DIV/0!</v>
      </c>
      <c r="T148" s="172" t="e">
        <f t="shared" si="123"/>
        <v>#DIV/0!</v>
      </c>
      <c r="EW148" s="166"/>
      <c r="EX148" s="166"/>
    </row>
    <row r="149" spans="1:154" s="241" customFormat="1" ht="18" customHeight="1" x14ac:dyDescent="0.2">
      <c r="A149" s="248">
        <f t="shared" si="106"/>
        <v>0</v>
      </c>
      <c r="B149" s="241" t="str">
        <f t="shared" si="107"/>
        <v>Übung 4</v>
      </c>
      <c r="C149" s="242"/>
      <c r="D149" s="242"/>
      <c r="E149" s="249" t="e">
        <f t="shared" si="108"/>
        <v>#DIV/0!</v>
      </c>
      <c r="F149" s="250" t="e">
        <f t="shared" si="109"/>
        <v>#DIV/0!</v>
      </c>
      <c r="G149" s="250" t="e">
        <f t="shared" si="110"/>
        <v>#DIV/0!</v>
      </c>
      <c r="H149" s="250" t="e">
        <f t="shared" si="111"/>
        <v>#DIV/0!</v>
      </c>
      <c r="I149" s="250" t="e">
        <f t="shared" si="112"/>
        <v>#DIV/0!</v>
      </c>
      <c r="J149" s="250" t="e">
        <f t="shared" si="113"/>
        <v>#DIV/0!</v>
      </c>
      <c r="K149" s="250" t="e">
        <f t="shared" si="114"/>
        <v>#DIV/0!</v>
      </c>
      <c r="L149" s="250" t="e">
        <f t="shared" si="115"/>
        <v>#DIV/0!</v>
      </c>
      <c r="M149" s="250"/>
      <c r="N149" s="251" t="e">
        <f t="shared" si="117"/>
        <v>#DIV/0!</v>
      </c>
      <c r="O149" s="251" t="e">
        <f t="shared" si="118"/>
        <v>#DIV/0!</v>
      </c>
      <c r="P149" s="251" t="e">
        <f t="shared" si="119"/>
        <v>#DIV/0!</v>
      </c>
      <c r="Q149" s="251" t="e">
        <f t="shared" si="120"/>
        <v>#DIV/0!</v>
      </c>
      <c r="R149" s="251" t="e">
        <f t="shared" si="121"/>
        <v>#DIV/0!</v>
      </c>
      <c r="S149" s="251" t="e">
        <f t="shared" si="122"/>
        <v>#DIV/0!</v>
      </c>
      <c r="T149" s="251" t="e">
        <f t="shared" si="123"/>
        <v>#DIV/0!</v>
      </c>
      <c r="EW149" s="247"/>
      <c r="EX149" s="247"/>
    </row>
    <row r="150" spans="1:154" s="153" customFormat="1" ht="18" hidden="1" customHeight="1" x14ac:dyDescent="0.2">
      <c r="A150" s="170">
        <f t="shared" si="106"/>
        <v>0</v>
      </c>
      <c r="B150" s="153">
        <f t="shared" si="107"/>
        <v>0</v>
      </c>
      <c r="C150" s="168"/>
      <c r="D150" s="168"/>
      <c r="E150" s="169" t="e">
        <f t="shared" si="108"/>
        <v>#DIV/0!</v>
      </c>
      <c r="F150" s="167" t="e">
        <f t="shared" si="109"/>
        <v>#DIV/0!</v>
      </c>
      <c r="G150" s="167" t="e">
        <f t="shared" si="110"/>
        <v>#DIV/0!</v>
      </c>
      <c r="H150" s="167" t="e">
        <f t="shared" si="111"/>
        <v>#DIV/0!</v>
      </c>
      <c r="I150" s="167" t="e">
        <f t="shared" si="112"/>
        <v>#DIV/0!</v>
      </c>
      <c r="J150" s="167" t="e">
        <f t="shared" si="113"/>
        <v>#DIV/0!</v>
      </c>
      <c r="K150" s="167" t="e">
        <f t="shared" si="114"/>
        <v>#DIV/0!</v>
      </c>
      <c r="L150" s="167" t="e">
        <f t="shared" si="115"/>
        <v>#DIV/0!</v>
      </c>
      <c r="M150" s="167"/>
      <c r="N150" s="172" t="e">
        <f t="shared" si="117"/>
        <v>#DIV/0!</v>
      </c>
      <c r="O150" s="172" t="e">
        <f t="shared" si="118"/>
        <v>#DIV/0!</v>
      </c>
      <c r="P150" s="172" t="e">
        <f t="shared" si="119"/>
        <v>#DIV/0!</v>
      </c>
      <c r="Q150" s="172" t="e">
        <f t="shared" si="120"/>
        <v>#DIV/0!</v>
      </c>
      <c r="R150" s="172" t="e">
        <f t="shared" si="121"/>
        <v>#DIV/0!</v>
      </c>
      <c r="S150" s="172" t="e">
        <f t="shared" si="122"/>
        <v>#DIV/0!</v>
      </c>
      <c r="T150" s="172" t="e">
        <f t="shared" si="123"/>
        <v>#DIV/0!</v>
      </c>
      <c r="EW150" s="166"/>
      <c r="EX150" s="166"/>
    </row>
    <row r="151" spans="1:154" s="241" customFormat="1" ht="18" customHeight="1" x14ac:dyDescent="0.2">
      <c r="A151" s="248">
        <f t="shared" si="106"/>
        <v>0</v>
      </c>
      <c r="B151" s="241" t="str">
        <f t="shared" si="107"/>
        <v>Übung 5</v>
      </c>
      <c r="C151" s="242"/>
      <c r="D151" s="242"/>
      <c r="E151" s="249" t="e">
        <f t="shared" si="108"/>
        <v>#DIV/0!</v>
      </c>
      <c r="F151" s="250" t="e">
        <f t="shared" si="109"/>
        <v>#DIV/0!</v>
      </c>
      <c r="G151" s="250" t="e">
        <f t="shared" si="110"/>
        <v>#DIV/0!</v>
      </c>
      <c r="H151" s="250" t="e">
        <f t="shared" si="111"/>
        <v>#DIV/0!</v>
      </c>
      <c r="I151" s="250" t="e">
        <f t="shared" si="112"/>
        <v>#DIV/0!</v>
      </c>
      <c r="J151" s="250" t="e">
        <f t="shared" si="113"/>
        <v>#DIV/0!</v>
      </c>
      <c r="K151" s="250" t="e">
        <f t="shared" si="114"/>
        <v>#DIV/0!</v>
      </c>
      <c r="L151" s="250" t="e">
        <f t="shared" si="115"/>
        <v>#DIV/0!</v>
      </c>
      <c r="M151" s="250"/>
      <c r="N151" s="251" t="e">
        <f t="shared" si="117"/>
        <v>#DIV/0!</v>
      </c>
      <c r="O151" s="251" t="e">
        <f t="shared" si="118"/>
        <v>#DIV/0!</v>
      </c>
      <c r="P151" s="251" t="e">
        <f t="shared" si="119"/>
        <v>#DIV/0!</v>
      </c>
      <c r="Q151" s="251" t="e">
        <f t="shared" si="120"/>
        <v>#DIV/0!</v>
      </c>
      <c r="R151" s="251" t="e">
        <f t="shared" si="121"/>
        <v>#DIV/0!</v>
      </c>
      <c r="S151" s="251" t="e">
        <f t="shared" si="122"/>
        <v>#DIV/0!</v>
      </c>
      <c r="T151" s="251" t="e">
        <f t="shared" si="123"/>
        <v>#DIV/0!</v>
      </c>
      <c r="EW151" s="247"/>
      <c r="EX151" s="247"/>
    </row>
    <row r="152" spans="1:154" s="153" customFormat="1" ht="18" hidden="1" customHeight="1" x14ac:dyDescent="0.2">
      <c r="A152" s="170">
        <f t="shared" si="106"/>
        <v>0</v>
      </c>
      <c r="B152" s="153">
        <f t="shared" si="107"/>
        <v>0</v>
      </c>
      <c r="C152" s="168"/>
      <c r="D152" s="168"/>
      <c r="E152" s="169" t="e">
        <f t="shared" si="108"/>
        <v>#DIV/0!</v>
      </c>
      <c r="F152" s="167" t="e">
        <f t="shared" si="109"/>
        <v>#DIV/0!</v>
      </c>
      <c r="G152" s="167" t="e">
        <f t="shared" si="110"/>
        <v>#DIV/0!</v>
      </c>
      <c r="H152" s="167" t="e">
        <f t="shared" si="111"/>
        <v>#DIV/0!</v>
      </c>
      <c r="I152" s="167" t="e">
        <f t="shared" si="112"/>
        <v>#DIV/0!</v>
      </c>
      <c r="J152" s="167" t="e">
        <f t="shared" si="113"/>
        <v>#DIV/0!</v>
      </c>
      <c r="K152" s="167" t="e">
        <f t="shared" si="114"/>
        <v>#DIV/0!</v>
      </c>
      <c r="L152" s="167" t="e">
        <f t="shared" si="115"/>
        <v>#DIV/0!</v>
      </c>
      <c r="M152" s="167"/>
      <c r="N152" s="172" t="e">
        <f t="shared" si="117"/>
        <v>#DIV/0!</v>
      </c>
      <c r="O152" s="172" t="e">
        <f t="shared" si="118"/>
        <v>#DIV/0!</v>
      </c>
      <c r="P152" s="172" t="e">
        <f t="shared" si="119"/>
        <v>#DIV/0!</v>
      </c>
      <c r="Q152" s="172" t="e">
        <f t="shared" si="120"/>
        <v>#DIV/0!</v>
      </c>
      <c r="R152" s="172" t="e">
        <f t="shared" si="121"/>
        <v>#DIV/0!</v>
      </c>
      <c r="S152" s="172" t="e">
        <f t="shared" si="122"/>
        <v>#DIV/0!</v>
      </c>
      <c r="T152" s="172" t="e">
        <f t="shared" si="123"/>
        <v>#DIV/0!</v>
      </c>
      <c r="EW152" s="166"/>
      <c r="EX152" s="166"/>
    </row>
    <row r="153" spans="1:154" s="241" customFormat="1" ht="18" customHeight="1" x14ac:dyDescent="0.2">
      <c r="A153" s="248">
        <f t="shared" si="106"/>
        <v>0</v>
      </c>
      <c r="B153" s="241" t="str">
        <f t="shared" si="107"/>
        <v>Übung 6</v>
      </c>
      <c r="C153" s="242"/>
      <c r="D153" s="242"/>
      <c r="E153" s="249" t="e">
        <f t="shared" si="108"/>
        <v>#DIV/0!</v>
      </c>
      <c r="F153" s="250" t="e">
        <f t="shared" si="109"/>
        <v>#DIV/0!</v>
      </c>
      <c r="G153" s="250" t="e">
        <f t="shared" si="110"/>
        <v>#DIV/0!</v>
      </c>
      <c r="H153" s="250" t="e">
        <f t="shared" si="111"/>
        <v>#DIV/0!</v>
      </c>
      <c r="I153" s="250" t="e">
        <f t="shared" si="112"/>
        <v>#DIV/0!</v>
      </c>
      <c r="J153" s="250" t="e">
        <f t="shared" si="113"/>
        <v>#DIV/0!</v>
      </c>
      <c r="K153" s="250" t="e">
        <f t="shared" si="114"/>
        <v>#DIV/0!</v>
      </c>
      <c r="L153" s="250" t="e">
        <f t="shared" si="115"/>
        <v>#DIV/0!</v>
      </c>
      <c r="M153" s="250"/>
      <c r="N153" s="251" t="e">
        <f t="shared" si="117"/>
        <v>#DIV/0!</v>
      </c>
      <c r="O153" s="251" t="e">
        <f t="shared" si="118"/>
        <v>#DIV/0!</v>
      </c>
      <c r="P153" s="251" t="e">
        <f t="shared" si="119"/>
        <v>#DIV/0!</v>
      </c>
      <c r="Q153" s="251" t="e">
        <f t="shared" si="120"/>
        <v>#DIV/0!</v>
      </c>
      <c r="R153" s="251" t="e">
        <f t="shared" si="121"/>
        <v>#DIV/0!</v>
      </c>
      <c r="S153" s="251" t="e">
        <f t="shared" si="122"/>
        <v>#DIV/0!</v>
      </c>
      <c r="T153" s="251" t="e">
        <f t="shared" si="123"/>
        <v>#DIV/0!</v>
      </c>
      <c r="EW153" s="247"/>
      <c r="EX153" s="247"/>
    </row>
    <row r="154" spans="1:154" s="153" customFormat="1" ht="18" hidden="1" customHeight="1" x14ac:dyDescent="0.2">
      <c r="A154" s="170">
        <f t="shared" si="106"/>
        <v>0</v>
      </c>
      <c r="B154" s="153">
        <f t="shared" si="107"/>
        <v>0</v>
      </c>
      <c r="C154" s="168"/>
      <c r="D154" s="168"/>
      <c r="E154" s="169" t="e">
        <f t="shared" si="108"/>
        <v>#DIV/0!</v>
      </c>
      <c r="F154" s="167" t="e">
        <f t="shared" si="109"/>
        <v>#DIV/0!</v>
      </c>
      <c r="G154" s="167" t="e">
        <f t="shared" si="110"/>
        <v>#DIV/0!</v>
      </c>
      <c r="H154" s="167" t="e">
        <f t="shared" si="111"/>
        <v>#DIV/0!</v>
      </c>
      <c r="I154" s="167" t="e">
        <f t="shared" si="112"/>
        <v>#DIV/0!</v>
      </c>
      <c r="J154" s="167" t="e">
        <f t="shared" si="113"/>
        <v>#DIV/0!</v>
      </c>
      <c r="K154" s="167" t="e">
        <f t="shared" si="114"/>
        <v>#DIV/0!</v>
      </c>
      <c r="L154" s="167" t="e">
        <f t="shared" si="115"/>
        <v>#DIV/0!</v>
      </c>
      <c r="M154" s="167"/>
      <c r="N154" s="172" t="e">
        <f t="shared" si="117"/>
        <v>#DIV/0!</v>
      </c>
      <c r="O154" s="172" t="e">
        <f t="shared" si="118"/>
        <v>#DIV/0!</v>
      </c>
      <c r="P154" s="172" t="e">
        <f t="shared" si="119"/>
        <v>#DIV/0!</v>
      </c>
      <c r="Q154" s="172" t="e">
        <f t="shared" si="120"/>
        <v>#DIV/0!</v>
      </c>
      <c r="R154" s="172" t="e">
        <f t="shared" si="121"/>
        <v>#DIV/0!</v>
      </c>
      <c r="S154" s="172" t="e">
        <f t="shared" si="122"/>
        <v>#DIV/0!</v>
      </c>
      <c r="T154" s="172" t="e">
        <f t="shared" si="123"/>
        <v>#DIV/0!</v>
      </c>
      <c r="EW154" s="166"/>
      <c r="EX154" s="166"/>
    </row>
    <row r="155" spans="1:154" s="241" customFormat="1" ht="18" customHeight="1" x14ac:dyDescent="0.2">
      <c r="A155" s="248">
        <f t="shared" si="106"/>
        <v>0</v>
      </c>
      <c r="B155" s="241" t="str">
        <f t="shared" si="107"/>
        <v>Übung 7</v>
      </c>
      <c r="C155" s="242"/>
      <c r="D155" s="242"/>
      <c r="E155" s="249" t="e">
        <f t="shared" si="108"/>
        <v>#DIV/0!</v>
      </c>
      <c r="F155" s="250" t="e">
        <f t="shared" si="109"/>
        <v>#DIV/0!</v>
      </c>
      <c r="G155" s="250" t="e">
        <f t="shared" si="110"/>
        <v>#DIV/0!</v>
      </c>
      <c r="H155" s="250" t="e">
        <f t="shared" si="111"/>
        <v>#DIV/0!</v>
      </c>
      <c r="I155" s="250" t="e">
        <f t="shared" si="112"/>
        <v>#DIV/0!</v>
      </c>
      <c r="J155" s="250" t="e">
        <f t="shared" si="113"/>
        <v>#DIV/0!</v>
      </c>
      <c r="K155" s="250" t="e">
        <f t="shared" si="114"/>
        <v>#DIV/0!</v>
      </c>
      <c r="L155" s="250" t="e">
        <f t="shared" si="115"/>
        <v>#DIV/0!</v>
      </c>
      <c r="M155" s="250"/>
      <c r="N155" s="251" t="e">
        <f t="shared" si="117"/>
        <v>#DIV/0!</v>
      </c>
      <c r="O155" s="251" t="e">
        <f t="shared" si="118"/>
        <v>#DIV/0!</v>
      </c>
      <c r="P155" s="251" t="e">
        <f t="shared" si="119"/>
        <v>#DIV/0!</v>
      </c>
      <c r="Q155" s="251" t="e">
        <f t="shared" si="120"/>
        <v>#DIV/0!</v>
      </c>
      <c r="R155" s="251" t="e">
        <f t="shared" si="121"/>
        <v>#DIV/0!</v>
      </c>
      <c r="S155" s="251" t="e">
        <f t="shared" si="122"/>
        <v>#DIV/0!</v>
      </c>
      <c r="T155" s="251" t="e">
        <f t="shared" si="123"/>
        <v>#DIV/0!</v>
      </c>
      <c r="EW155" s="247"/>
      <c r="EX155" s="247"/>
    </row>
    <row r="156" spans="1:154" s="153" customFormat="1" ht="18" hidden="1" customHeight="1" x14ac:dyDescent="0.2">
      <c r="A156" s="170">
        <f t="shared" si="106"/>
        <v>0</v>
      </c>
      <c r="B156" s="153">
        <f t="shared" si="107"/>
        <v>0</v>
      </c>
      <c r="C156" s="168"/>
      <c r="D156" s="168"/>
      <c r="E156" s="169" t="e">
        <f t="shared" si="108"/>
        <v>#DIV/0!</v>
      </c>
      <c r="F156" s="167" t="e">
        <f t="shared" si="109"/>
        <v>#DIV/0!</v>
      </c>
      <c r="G156" s="167" t="e">
        <f t="shared" si="110"/>
        <v>#DIV/0!</v>
      </c>
      <c r="H156" s="167" t="e">
        <f t="shared" si="111"/>
        <v>#DIV/0!</v>
      </c>
      <c r="I156" s="167" t="e">
        <f t="shared" si="112"/>
        <v>#DIV/0!</v>
      </c>
      <c r="J156" s="167" t="e">
        <f t="shared" si="113"/>
        <v>#DIV/0!</v>
      </c>
      <c r="K156" s="167" t="e">
        <f t="shared" si="114"/>
        <v>#DIV/0!</v>
      </c>
      <c r="L156" s="167" t="e">
        <f t="shared" si="115"/>
        <v>#DIV/0!</v>
      </c>
      <c r="M156" s="167"/>
      <c r="N156" s="172" t="e">
        <f t="shared" si="117"/>
        <v>#DIV/0!</v>
      </c>
      <c r="O156" s="172" t="e">
        <f t="shared" si="118"/>
        <v>#DIV/0!</v>
      </c>
      <c r="P156" s="172" t="e">
        <f t="shared" si="119"/>
        <v>#DIV/0!</v>
      </c>
      <c r="Q156" s="172" t="e">
        <f t="shared" si="120"/>
        <v>#DIV/0!</v>
      </c>
      <c r="R156" s="172" t="e">
        <f t="shared" si="121"/>
        <v>#DIV/0!</v>
      </c>
      <c r="S156" s="172" t="e">
        <f t="shared" si="122"/>
        <v>#DIV/0!</v>
      </c>
      <c r="T156" s="172" t="e">
        <f t="shared" si="123"/>
        <v>#DIV/0!</v>
      </c>
      <c r="EW156" s="166"/>
      <c r="EX156" s="166"/>
    </row>
    <row r="157" spans="1:154" s="241" customFormat="1" ht="18" customHeight="1" x14ac:dyDescent="0.2">
      <c r="A157" s="248">
        <f t="shared" si="106"/>
        <v>0</v>
      </c>
      <c r="B157" s="241" t="str">
        <f t="shared" si="107"/>
        <v>Übung 8</v>
      </c>
      <c r="C157" s="242"/>
      <c r="D157" s="242"/>
      <c r="E157" s="249" t="e">
        <f t="shared" si="108"/>
        <v>#DIV/0!</v>
      </c>
      <c r="F157" s="250" t="e">
        <f t="shared" si="109"/>
        <v>#DIV/0!</v>
      </c>
      <c r="G157" s="250" t="e">
        <f t="shared" si="110"/>
        <v>#DIV/0!</v>
      </c>
      <c r="H157" s="250" t="e">
        <f t="shared" si="111"/>
        <v>#DIV/0!</v>
      </c>
      <c r="I157" s="250" t="e">
        <f t="shared" si="112"/>
        <v>#DIV/0!</v>
      </c>
      <c r="J157" s="250" t="e">
        <f t="shared" si="113"/>
        <v>#DIV/0!</v>
      </c>
      <c r="K157" s="250" t="e">
        <f t="shared" si="114"/>
        <v>#DIV/0!</v>
      </c>
      <c r="L157" s="250" t="e">
        <f t="shared" si="115"/>
        <v>#DIV/0!</v>
      </c>
      <c r="M157" s="250"/>
      <c r="N157" s="251" t="e">
        <f t="shared" si="117"/>
        <v>#DIV/0!</v>
      </c>
      <c r="O157" s="251" t="e">
        <f t="shared" si="118"/>
        <v>#DIV/0!</v>
      </c>
      <c r="P157" s="251" t="e">
        <f t="shared" si="119"/>
        <v>#DIV/0!</v>
      </c>
      <c r="Q157" s="251" t="e">
        <f t="shared" si="120"/>
        <v>#DIV/0!</v>
      </c>
      <c r="R157" s="251" t="e">
        <f t="shared" si="121"/>
        <v>#DIV/0!</v>
      </c>
      <c r="S157" s="251" t="e">
        <f t="shared" si="122"/>
        <v>#DIV/0!</v>
      </c>
      <c r="T157" s="251" t="e">
        <f t="shared" si="123"/>
        <v>#DIV/0!</v>
      </c>
      <c r="EW157" s="247"/>
      <c r="EX157" s="247"/>
    </row>
    <row r="158" spans="1:154" s="153" customFormat="1" ht="18" hidden="1" customHeight="1" x14ac:dyDescent="0.2">
      <c r="A158" s="170">
        <f t="shared" si="106"/>
        <v>0</v>
      </c>
      <c r="B158" s="153">
        <f t="shared" si="107"/>
        <v>0</v>
      </c>
      <c r="C158" s="168"/>
      <c r="D158" s="168"/>
      <c r="E158" s="169" t="e">
        <f t="shared" si="108"/>
        <v>#DIV/0!</v>
      </c>
      <c r="F158" s="167" t="e">
        <f t="shared" si="109"/>
        <v>#DIV/0!</v>
      </c>
      <c r="G158" s="167" t="e">
        <f t="shared" si="110"/>
        <v>#DIV/0!</v>
      </c>
      <c r="H158" s="167" t="e">
        <f t="shared" si="111"/>
        <v>#DIV/0!</v>
      </c>
      <c r="I158" s="167" t="e">
        <f t="shared" si="112"/>
        <v>#DIV/0!</v>
      </c>
      <c r="J158" s="167" t="e">
        <f t="shared" si="113"/>
        <v>#DIV/0!</v>
      </c>
      <c r="K158" s="167" t="e">
        <f t="shared" si="114"/>
        <v>#DIV/0!</v>
      </c>
      <c r="L158" s="167" t="e">
        <f t="shared" si="115"/>
        <v>#DIV/0!</v>
      </c>
      <c r="M158" s="167"/>
      <c r="N158" s="172" t="e">
        <f t="shared" si="117"/>
        <v>#DIV/0!</v>
      </c>
      <c r="O158" s="172" t="e">
        <f t="shared" si="118"/>
        <v>#DIV/0!</v>
      </c>
      <c r="P158" s="172" t="e">
        <f t="shared" si="119"/>
        <v>#DIV/0!</v>
      </c>
      <c r="Q158" s="172" t="e">
        <f t="shared" si="120"/>
        <v>#DIV/0!</v>
      </c>
      <c r="R158" s="172" t="e">
        <f t="shared" si="121"/>
        <v>#DIV/0!</v>
      </c>
      <c r="S158" s="172" t="e">
        <f t="shared" si="122"/>
        <v>#DIV/0!</v>
      </c>
      <c r="T158" s="172" t="e">
        <f t="shared" si="123"/>
        <v>#DIV/0!</v>
      </c>
      <c r="EW158" s="166"/>
      <c r="EX158" s="166"/>
    </row>
    <row r="159" spans="1:154" s="241" customFormat="1" ht="18" customHeight="1" x14ac:dyDescent="0.2">
      <c r="A159" s="248">
        <f t="shared" si="106"/>
        <v>0</v>
      </c>
      <c r="B159" s="241" t="str">
        <f t="shared" si="107"/>
        <v>Übung 9</v>
      </c>
      <c r="C159" s="242"/>
      <c r="D159" s="242"/>
      <c r="E159" s="249" t="e">
        <f t="shared" si="108"/>
        <v>#DIV/0!</v>
      </c>
      <c r="F159" s="250" t="e">
        <f t="shared" si="109"/>
        <v>#DIV/0!</v>
      </c>
      <c r="G159" s="250" t="e">
        <f t="shared" si="110"/>
        <v>#DIV/0!</v>
      </c>
      <c r="H159" s="250" t="e">
        <f t="shared" si="111"/>
        <v>#DIV/0!</v>
      </c>
      <c r="I159" s="250" t="e">
        <f t="shared" si="112"/>
        <v>#DIV/0!</v>
      </c>
      <c r="J159" s="250" t="e">
        <f t="shared" si="113"/>
        <v>#DIV/0!</v>
      </c>
      <c r="K159" s="250" t="e">
        <f t="shared" si="114"/>
        <v>#DIV/0!</v>
      </c>
      <c r="L159" s="250" t="e">
        <f t="shared" si="115"/>
        <v>#DIV/0!</v>
      </c>
      <c r="M159" s="250"/>
      <c r="N159" s="251" t="e">
        <f t="shared" si="117"/>
        <v>#DIV/0!</v>
      </c>
      <c r="O159" s="251" t="e">
        <f t="shared" si="118"/>
        <v>#DIV/0!</v>
      </c>
      <c r="P159" s="251" t="e">
        <f t="shared" si="119"/>
        <v>#DIV/0!</v>
      </c>
      <c r="Q159" s="251" t="e">
        <f t="shared" si="120"/>
        <v>#DIV/0!</v>
      </c>
      <c r="R159" s="251" t="e">
        <f t="shared" si="121"/>
        <v>#DIV/0!</v>
      </c>
      <c r="S159" s="251" t="e">
        <f t="shared" si="122"/>
        <v>#DIV/0!</v>
      </c>
      <c r="T159" s="251" t="e">
        <f t="shared" si="123"/>
        <v>#DIV/0!</v>
      </c>
      <c r="EW159" s="247"/>
      <c r="EX159" s="247"/>
    </row>
    <row r="160" spans="1:154" s="153" customFormat="1" ht="18" hidden="1" customHeight="1" x14ac:dyDescent="0.2">
      <c r="A160" s="170">
        <f t="shared" si="106"/>
        <v>0</v>
      </c>
      <c r="B160" s="153">
        <f t="shared" si="107"/>
        <v>0</v>
      </c>
      <c r="C160" s="168"/>
      <c r="D160" s="168"/>
      <c r="E160" s="169" t="e">
        <f t="shared" si="108"/>
        <v>#DIV/0!</v>
      </c>
      <c r="F160" s="167" t="e">
        <f t="shared" si="109"/>
        <v>#DIV/0!</v>
      </c>
      <c r="G160" s="167" t="e">
        <f t="shared" si="110"/>
        <v>#DIV/0!</v>
      </c>
      <c r="H160" s="167" t="e">
        <f t="shared" si="111"/>
        <v>#DIV/0!</v>
      </c>
      <c r="I160" s="167" t="e">
        <f t="shared" si="112"/>
        <v>#DIV/0!</v>
      </c>
      <c r="J160" s="167" t="e">
        <f t="shared" si="113"/>
        <v>#DIV/0!</v>
      </c>
      <c r="K160" s="167" t="e">
        <f t="shared" si="114"/>
        <v>#DIV/0!</v>
      </c>
      <c r="L160" s="167" t="e">
        <f t="shared" si="115"/>
        <v>#DIV/0!</v>
      </c>
      <c r="M160" s="167"/>
      <c r="N160" s="172" t="e">
        <f t="shared" si="117"/>
        <v>#DIV/0!</v>
      </c>
      <c r="O160" s="172" t="e">
        <f t="shared" si="118"/>
        <v>#DIV/0!</v>
      </c>
      <c r="P160" s="172" t="e">
        <f t="shared" si="119"/>
        <v>#DIV/0!</v>
      </c>
      <c r="Q160" s="172" t="e">
        <f t="shared" si="120"/>
        <v>#DIV/0!</v>
      </c>
      <c r="R160" s="172" t="e">
        <f t="shared" si="121"/>
        <v>#DIV/0!</v>
      </c>
      <c r="S160" s="172" t="e">
        <f t="shared" si="122"/>
        <v>#DIV/0!</v>
      </c>
      <c r="T160" s="172" t="e">
        <f t="shared" si="123"/>
        <v>#DIV/0!</v>
      </c>
      <c r="EW160" s="166"/>
      <c r="EX160" s="166"/>
    </row>
    <row r="161" spans="1:154" s="241" customFormat="1" ht="18" customHeight="1" x14ac:dyDescent="0.2">
      <c r="A161" s="248">
        <f t="shared" si="106"/>
        <v>0</v>
      </c>
      <c r="B161" s="241" t="str">
        <f t="shared" si="107"/>
        <v>Übung 10</v>
      </c>
      <c r="C161" s="242"/>
      <c r="D161" s="242"/>
      <c r="E161" s="249" t="e">
        <f t="shared" si="108"/>
        <v>#DIV/0!</v>
      </c>
      <c r="F161" s="250" t="e">
        <f t="shared" si="109"/>
        <v>#DIV/0!</v>
      </c>
      <c r="G161" s="250" t="e">
        <f t="shared" si="110"/>
        <v>#DIV/0!</v>
      </c>
      <c r="H161" s="250" t="e">
        <f t="shared" si="111"/>
        <v>#DIV/0!</v>
      </c>
      <c r="I161" s="250" t="e">
        <f t="shared" si="112"/>
        <v>#DIV/0!</v>
      </c>
      <c r="J161" s="250" t="e">
        <f t="shared" si="113"/>
        <v>#DIV/0!</v>
      </c>
      <c r="K161" s="250" t="e">
        <f t="shared" si="114"/>
        <v>#DIV/0!</v>
      </c>
      <c r="L161" s="250" t="e">
        <f t="shared" si="115"/>
        <v>#DIV/0!</v>
      </c>
      <c r="M161" s="250"/>
      <c r="N161" s="251" t="e">
        <f t="shared" si="117"/>
        <v>#DIV/0!</v>
      </c>
      <c r="O161" s="251" t="e">
        <f t="shared" si="118"/>
        <v>#DIV/0!</v>
      </c>
      <c r="P161" s="251" t="e">
        <f t="shared" si="119"/>
        <v>#DIV/0!</v>
      </c>
      <c r="Q161" s="251" t="e">
        <f t="shared" si="120"/>
        <v>#DIV/0!</v>
      </c>
      <c r="R161" s="251" t="e">
        <f t="shared" si="121"/>
        <v>#DIV/0!</v>
      </c>
      <c r="S161" s="251" t="e">
        <f t="shared" si="122"/>
        <v>#DIV/0!</v>
      </c>
      <c r="T161" s="251" t="e">
        <f t="shared" si="123"/>
        <v>#DIV/0!</v>
      </c>
      <c r="EW161" s="247"/>
      <c r="EX161" s="247"/>
    </row>
    <row r="162" spans="1:154" s="153" customFormat="1" ht="18" hidden="1" customHeight="1" x14ac:dyDescent="0.2">
      <c r="A162" s="170">
        <f t="shared" si="106"/>
        <v>0</v>
      </c>
      <c r="B162" s="153">
        <f t="shared" si="107"/>
        <v>0</v>
      </c>
      <c r="C162" s="168"/>
      <c r="D162" s="168"/>
      <c r="E162" s="169" t="e">
        <f t="shared" si="108"/>
        <v>#DIV/0!</v>
      </c>
      <c r="F162" s="167" t="e">
        <f t="shared" si="109"/>
        <v>#DIV/0!</v>
      </c>
      <c r="G162" s="167" t="e">
        <f t="shared" si="110"/>
        <v>#DIV/0!</v>
      </c>
      <c r="H162" s="167" t="e">
        <f t="shared" si="111"/>
        <v>#DIV/0!</v>
      </c>
      <c r="I162" s="167" t="e">
        <f t="shared" si="112"/>
        <v>#DIV/0!</v>
      </c>
      <c r="J162" s="167" t="e">
        <f t="shared" si="113"/>
        <v>#DIV/0!</v>
      </c>
      <c r="K162" s="167" t="e">
        <f t="shared" si="114"/>
        <v>#DIV/0!</v>
      </c>
      <c r="L162" s="167" t="e">
        <f t="shared" si="115"/>
        <v>#DIV/0!</v>
      </c>
      <c r="M162" s="167"/>
      <c r="N162" s="172" t="e">
        <f t="shared" si="117"/>
        <v>#DIV/0!</v>
      </c>
      <c r="O162" s="172" t="e">
        <f t="shared" si="118"/>
        <v>#DIV/0!</v>
      </c>
      <c r="P162" s="172" t="e">
        <f t="shared" si="119"/>
        <v>#DIV/0!</v>
      </c>
      <c r="Q162" s="172" t="e">
        <f t="shared" si="120"/>
        <v>#DIV/0!</v>
      </c>
      <c r="R162" s="172" t="e">
        <f t="shared" si="121"/>
        <v>#DIV/0!</v>
      </c>
      <c r="S162" s="172" t="e">
        <f t="shared" si="122"/>
        <v>#DIV/0!</v>
      </c>
      <c r="T162" s="172" t="e">
        <f t="shared" si="123"/>
        <v>#DIV/0!</v>
      </c>
      <c r="EW162" s="166"/>
      <c r="EX162" s="166"/>
    </row>
    <row r="163" spans="1:154" s="241" customFormat="1" ht="18" customHeight="1" x14ac:dyDescent="0.2">
      <c r="A163" s="248">
        <f t="shared" si="106"/>
        <v>0</v>
      </c>
      <c r="B163" s="241" t="str">
        <f t="shared" si="107"/>
        <v>Übung 11</v>
      </c>
      <c r="C163" s="242"/>
      <c r="D163" s="242"/>
      <c r="E163" s="249" t="e">
        <f t="shared" si="108"/>
        <v>#DIV/0!</v>
      </c>
      <c r="F163" s="250" t="e">
        <f t="shared" si="109"/>
        <v>#DIV/0!</v>
      </c>
      <c r="G163" s="250" t="e">
        <f t="shared" si="110"/>
        <v>#DIV/0!</v>
      </c>
      <c r="H163" s="250" t="e">
        <f t="shared" si="111"/>
        <v>#DIV/0!</v>
      </c>
      <c r="I163" s="250" t="e">
        <f t="shared" si="112"/>
        <v>#DIV/0!</v>
      </c>
      <c r="J163" s="250" t="e">
        <f t="shared" si="113"/>
        <v>#DIV/0!</v>
      </c>
      <c r="K163" s="250" t="e">
        <f t="shared" si="114"/>
        <v>#DIV/0!</v>
      </c>
      <c r="L163" s="250" t="e">
        <f t="shared" si="115"/>
        <v>#DIV/0!</v>
      </c>
      <c r="M163" s="250"/>
      <c r="N163" s="251" t="e">
        <f t="shared" si="117"/>
        <v>#DIV/0!</v>
      </c>
      <c r="O163" s="251" t="e">
        <f t="shared" si="118"/>
        <v>#DIV/0!</v>
      </c>
      <c r="P163" s="251" t="e">
        <f t="shared" si="119"/>
        <v>#DIV/0!</v>
      </c>
      <c r="Q163" s="251" t="e">
        <f t="shared" si="120"/>
        <v>#DIV/0!</v>
      </c>
      <c r="R163" s="251" t="e">
        <f t="shared" si="121"/>
        <v>#DIV/0!</v>
      </c>
      <c r="S163" s="251" t="e">
        <f t="shared" si="122"/>
        <v>#DIV/0!</v>
      </c>
      <c r="T163" s="251" t="e">
        <f t="shared" si="123"/>
        <v>#DIV/0!</v>
      </c>
      <c r="EW163" s="247"/>
      <c r="EX163" s="247"/>
    </row>
    <row r="164" spans="1:154" s="153" customFormat="1" ht="18" hidden="1" customHeight="1" x14ac:dyDescent="0.2">
      <c r="A164" s="170">
        <f t="shared" si="106"/>
        <v>0</v>
      </c>
      <c r="B164" s="153">
        <f t="shared" si="107"/>
        <v>0</v>
      </c>
      <c r="C164" s="168"/>
      <c r="D164" s="168"/>
      <c r="E164" s="169" t="e">
        <f t="shared" si="108"/>
        <v>#DIV/0!</v>
      </c>
      <c r="F164" s="167" t="e">
        <f t="shared" si="109"/>
        <v>#DIV/0!</v>
      </c>
      <c r="G164" s="167" t="e">
        <f t="shared" si="110"/>
        <v>#DIV/0!</v>
      </c>
      <c r="H164" s="167" t="e">
        <f t="shared" si="111"/>
        <v>#DIV/0!</v>
      </c>
      <c r="I164" s="167" t="e">
        <f t="shared" si="112"/>
        <v>#DIV/0!</v>
      </c>
      <c r="J164" s="167" t="e">
        <f t="shared" si="113"/>
        <v>#DIV/0!</v>
      </c>
      <c r="K164" s="167" t="e">
        <f t="shared" si="114"/>
        <v>#DIV/0!</v>
      </c>
      <c r="L164" s="167" t="e">
        <f t="shared" si="115"/>
        <v>#DIV/0!</v>
      </c>
      <c r="M164" s="167"/>
      <c r="N164" s="172" t="e">
        <f t="shared" si="117"/>
        <v>#DIV/0!</v>
      </c>
      <c r="O164" s="172" t="e">
        <f t="shared" si="118"/>
        <v>#DIV/0!</v>
      </c>
      <c r="P164" s="172" t="e">
        <f t="shared" si="119"/>
        <v>#DIV/0!</v>
      </c>
      <c r="Q164" s="172" t="e">
        <f t="shared" si="120"/>
        <v>#DIV/0!</v>
      </c>
      <c r="R164" s="172" t="e">
        <f t="shared" si="121"/>
        <v>#DIV/0!</v>
      </c>
      <c r="S164" s="172" t="e">
        <f t="shared" si="122"/>
        <v>#DIV/0!</v>
      </c>
      <c r="T164" s="172" t="e">
        <f t="shared" si="123"/>
        <v>#DIV/0!</v>
      </c>
      <c r="EW164" s="166"/>
      <c r="EX164" s="166"/>
    </row>
    <row r="165" spans="1:154" s="241" customFormat="1" ht="18" customHeight="1" x14ac:dyDescent="0.2">
      <c r="A165" s="248">
        <f t="shared" si="106"/>
        <v>0</v>
      </c>
      <c r="B165" s="241" t="str">
        <f t="shared" si="107"/>
        <v>Übung 12</v>
      </c>
      <c r="C165" s="242"/>
      <c r="D165" s="242"/>
      <c r="E165" s="249" t="e">
        <f t="shared" si="108"/>
        <v>#DIV/0!</v>
      </c>
      <c r="F165" s="250" t="e">
        <f t="shared" si="109"/>
        <v>#DIV/0!</v>
      </c>
      <c r="G165" s="250" t="e">
        <f t="shared" si="110"/>
        <v>#DIV/0!</v>
      </c>
      <c r="H165" s="250" t="e">
        <f t="shared" si="111"/>
        <v>#DIV/0!</v>
      </c>
      <c r="I165" s="250" t="e">
        <f t="shared" si="112"/>
        <v>#DIV/0!</v>
      </c>
      <c r="J165" s="250" t="e">
        <f t="shared" si="113"/>
        <v>#DIV/0!</v>
      </c>
      <c r="K165" s="250" t="e">
        <f t="shared" si="114"/>
        <v>#DIV/0!</v>
      </c>
      <c r="L165" s="250" t="e">
        <f t="shared" si="115"/>
        <v>#DIV/0!</v>
      </c>
      <c r="M165" s="250"/>
      <c r="N165" s="251" t="e">
        <f t="shared" si="117"/>
        <v>#DIV/0!</v>
      </c>
      <c r="O165" s="251" t="e">
        <f t="shared" si="118"/>
        <v>#DIV/0!</v>
      </c>
      <c r="P165" s="251" t="e">
        <f t="shared" si="119"/>
        <v>#DIV/0!</v>
      </c>
      <c r="Q165" s="251" t="e">
        <f t="shared" si="120"/>
        <v>#DIV/0!</v>
      </c>
      <c r="R165" s="251" t="e">
        <f t="shared" si="121"/>
        <v>#DIV/0!</v>
      </c>
      <c r="S165" s="251" t="e">
        <f t="shared" si="122"/>
        <v>#DIV/0!</v>
      </c>
      <c r="T165" s="251" t="e">
        <f t="shared" si="123"/>
        <v>#DIV/0!</v>
      </c>
      <c r="EW165" s="247"/>
      <c r="EX165" s="247"/>
    </row>
    <row r="166" spans="1:154" s="153" customFormat="1" ht="18" hidden="1" customHeight="1" x14ac:dyDescent="0.2">
      <c r="A166" s="170">
        <f t="shared" si="106"/>
        <v>0</v>
      </c>
      <c r="B166" s="153">
        <f t="shared" si="107"/>
        <v>0</v>
      </c>
      <c r="C166" s="168"/>
      <c r="D166" s="168"/>
      <c r="E166" s="169" t="e">
        <f t="shared" si="108"/>
        <v>#DIV/0!</v>
      </c>
      <c r="F166" s="167" t="e">
        <f t="shared" si="109"/>
        <v>#DIV/0!</v>
      </c>
      <c r="G166" s="167" t="e">
        <f t="shared" si="110"/>
        <v>#DIV/0!</v>
      </c>
      <c r="H166" s="167" t="e">
        <f t="shared" si="111"/>
        <v>#DIV/0!</v>
      </c>
      <c r="I166" s="167" t="e">
        <f t="shared" si="112"/>
        <v>#DIV/0!</v>
      </c>
      <c r="J166" s="167" t="e">
        <f t="shared" si="113"/>
        <v>#DIV/0!</v>
      </c>
      <c r="K166" s="167" t="e">
        <f t="shared" si="114"/>
        <v>#DIV/0!</v>
      </c>
      <c r="L166" s="167" t="e">
        <f t="shared" si="115"/>
        <v>#DIV/0!</v>
      </c>
      <c r="M166" s="167"/>
      <c r="N166" s="172" t="e">
        <f t="shared" si="117"/>
        <v>#DIV/0!</v>
      </c>
      <c r="O166" s="172" t="e">
        <f t="shared" si="118"/>
        <v>#DIV/0!</v>
      </c>
      <c r="P166" s="172" t="e">
        <f t="shared" si="119"/>
        <v>#DIV/0!</v>
      </c>
      <c r="Q166" s="172" t="e">
        <f t="shared" si="120"/>
        <v>#DIV/0!</v>
      </c>
      <c r="R166" s="172" t="e">
        <f t="shared" si="121"/>
        <v>#DIV/0!</v>
      </c>
      <c r="S166" s="172" t="e">
        <f t="shared" si="122"/>
        <v>#DIV/0!</v>
      </c>
      <c r="T166" s="172" t="e">
        <f t="shared" si="123"/>
        <v>#DIV/0!</v>
      </c>
      <c r="EW166" s="166"/>
      <c r="EX166" s="166"/>
    </row>
    <row r="167" spans="1:154" s="241" customFormat="1" ht="18" customHeight="1" x14ac:dyDescent="0.2">
      <c r="A167" s="248">
        <f t="shared" si="106"/>
        <v>0</v>
      </c>
      <c r="B167" s="241" t="str">
        <f t="shared" si="107"/>
        <v>Übung 13</v>
      </c>
      <c r="C167" s="242"/>
      <c r="D167" s="242"/>
      <c r="E167" s="249" t="e">
        <f t="shared" si="108"/>
        <v>#DIV/0!</v>
      </c>
      <c r="F167" s="250" t="e">
        <f t="shared" si="109"/>
        <v>#DIV/0!</v>
      </c>
      <c r="G167" s="250" t="e">
        <f t="shared" si="110"/>
        <v>#DIV/0!</v>
      </c>
      <c r="H167" s="250" t="e">
        <f t="shared" si="111"/>
        <v>#DIV/0!</v>
      </c>
      <c r="I167" s="250" t="e">
        <f t="shared" si="112"/>
        <v>#DIV/0!</v>
      </c>
      <c r="J167" s="250" t="e">
        <f t="shared" si="113"/>
        <v>#DIV/0!</v>
      </c>
      <c r="K167" s="250" t="e">
        <f t="shared" si="114"/>
        <v>#DIV/0!</v>
      </c>
      <c r="L167" s="250" t="e">
        <f t="shared" si="115"/>
        <v>#DIV/0!</v>
      </c>
      <c r="M167" s="250"/>
      <c r="N167" s="251" t="e">
        <f t="shared" si="117"/>
        <v>#DIV/0!</v>
      </c>
      <c r="O167" s="251" t="e">
        <f t="shared" si="118"/>
        <v>#DIV/0!</v>
      </c>
      <c r="P167" s="251" t="e">
        <f t="shared" si="119"/>
        <v>#DIV/0!</v>
      </c>
      <c r="Q167" s="251" t="e">
        <f t="shared" si="120"/>
        <v>#DIV/0!</v>
      </c>
      <c r="R167" s="251" t="e">
        <f t="shared" si="121"/>
        <v>#DIV/0!</v>
      </c>
      <c r="S167" s="251" t="e">
        <f t="shared" si="122"/>
        <v>#DIV/0!</v>
      </c>
      <c r="T167" s="251" t="e">
        <f t="shared" si="123"/>
        <v>#DIV/0!</v>
      </c>
      <c r="EW167" s="247"/>
      <c r="EX167" s="247"/>
    </row>
    <row r="168" spans="1:154" s="153" customFormat="1" ht="18" hidden="1" customHeight="1" x14ac:dyDescent="0.2">
      <c r="A168" s="170">
        <f t="shared" si="106"/>
        <v>0</v>
      </c>
      <c r="B168" s="153">
        <f t="shared" si="107"/>
        <v>0</v>
      </c>
      <c r="C168" s="168"/>
      <c r="D168" s="168"/>
      <c r="E168" s="169" t="e">
        <f t="shared" si="108"/>
        <v>#DIV/0!</v>
      </c>
      <c r="F168" s="167" t="e">
        <f t="shared" si="109"/>
        <v>#DIV/0!</v>
      </c>
      <c r="G168" s="167" t="e">
        <f t="shared" si="110"/>
        <v>#DIV/0!</v>
      </c>
      <c r="H168" s="167" t="e">
        <f t="shared" si="111"/>
        <v>#DIV/0!</v>
      </c>
      <c r="I168" s="167" t="e">
        <f t="shared" si="112"/>
        <v>#DIV/0!</v>
      </c>
      <c r="J168" s="167" t="e">
        <f t="shared" si="113"/>
        <v>#DIV/0!</v>
      </c>
      <c r="K168" s="167" t="e">
        <f t="shared" si="114"/>
        <v>#DIV/0!</v>
      </c>
      <c r="L168" s="167" t="e">
        <f t="shared" si="115"/>
        <v>#DIV/0!</v>
      </c>
      <c r="M168" s="167"/>
      <c r="N168" s="172" t="e">
        <f t="shared" si="117"/>
        <v>#DIV/0!</v>
      </c>
      <c r="O168" s="172" t="e">
        <f t="shared" si="118"/>
        <v>#DIV/0!</v>
      </c>
      <c r="P168" s="172" t="e">
        <f t="shared" si="119"/>
        <v>#DIV/0!</v>
      </c>
      <c r="Q168" s="172" t="e">
        <f t="shared" si="120"/>
        <v>#DIV/0!</v>
      </c>
      <c r="R168" s="172" t="e">
        <f t="shared" si="121"/>
        <v>#DIV/0!</v>
      </c>
      <c r="S168" s="172" t="e">
        <f t="shared" si="122"/>
        <v>#DIV/0!</v>
      </c>
      <c r="T168" s="172" t="e">
        <f t="shared" si="123"/>
        <v>#DIV/0!</v>
      </c>
      <c r="EW168" s="166"/>
      <c r="EX168" s="166"/>
    </row>
    <row r="169" spans="1:154" s="241" customFormat="1" ht="18" customHeight="1" x14ac:dyDescent="0.2">
      <c r="A169" s="248">
        <f t="shared" si="106"/>
        <v>0</v>
      </c>
      <c r="B169" s="241" t="str">
        <f t="shared" si="107"/>
        <v>Übung 14</v>
      </c>
      <c r="C169" s="242"/>
      <c r="D169" s="242"/>
      <c r="E169" s="249" t="e">
        <f t="shared" si="108"/>
        <v>#DIV/0!</v>
      </c>
      <c r="F169" s="250" t="e">
        <f t="shared" si="109"/>
        <v>#DIV/0!</v>
      </c>
      <c r="G169" s="250" t="e">
        <f t="shared" si="110"/>
        <v>#DIV/0!</v>
      </c>
      <c r="H169" s="250" t="e">
        <f t="shared" si="111"/>
        <v>#DIV/0!</v>
      </c>
      <c r="I169" s="250" t="e">
        <f t="shared" si="112"/>
        <v>#DIV/0!</v>
      </c>
      <c r="J169" s="250" t="e">
        <f t="shared" si="113"/>
        <v>#DIV/0!</v>
      </c>
      <c r="K169" s="250" t="e">
        <f t="shared" si="114"/>
        <v>#DIV/0!</v>
      </c>
      <c r="L169" s="250" t="e">
        <f t="shared" si="115"/>
        <v>#DIV/0!</v>
      </c>
      <c r="M169" s="250"/>
      <c r="N169" s="251" t="e">
        <f t="shared" si="117"/>
        <v>#DIV/0!</v>
      </c>
      <c r="O169" s="251" t="e">
        <f t="shared" si="118"/>
        <v>#DIV/0!</v>
      </c>
      <c r="P169" s="251" t="e">
        <f t="shared" si="119"/>
        <v>#DIV/0!</v>
      </c>
      <c r="Q169" s="251" t="e">
        <f t="shared" si="120"/>
        <v>#DIV/0!</v>
      </c>
      <c r="R169" s="251" t="e">
        <f t="shared" si="121"/>
        <v>#DIV/0!</v>
      </c>
      <c r="S169" s="251" t="e">
        <f t="shared" si="122"/>
        <v>#DIV/0!</v>
      </c>
      <c r="T169" s="251" t="e">
        <f t="shared" si="123"/>
        <v>#DIV/0!</v>
      </c>
      <c r="EW169" s="247"/>
      <c r="EX169" s="247"/>
    </row>
    <row r="170" spans="1:154" s="153" customFormat="1" ht="18" hidden="1" customHeight="1" x14ac:dyDescent="0.2">
      <c r="A170" s="170">
        <f t="shared" si="106"/>
        <v>0</v>
      </c>
      <c r="B170" s="153">
        <f t="shared" si="107"/>
        <v>0</v>
      </c>
      <c r="C170" s="168"/>
      <c r="D170" s="168"/>
      <c r="E170" s="169" t="e">
        <f t="shared" si="108"/>
        <v>#DIV/0!</v>
      </c>
      <c r="F170" s="167" t="e">
        <f t="shared" si="109"/>
        <v>#DIV/0!</v>
      </c>
      <c r="G170" s="167" t="e">
        <f t="shared" si="110"/>
        <v>#DIV/0!</v>
      </c>
      <c r="H170" s="167" t="e">
        <f t="shared" si="111"/>
        <v>#DIV/0!</v>
      </c>
      <c r="I170" s="167" t="e">
        <f t="shared" si="112"/>
        <v>#DIV/0!</v>
      </c>
      <c r="J170" s="167" t="e">
        <f t="shared" si="113"/>
        <v>#DIV/0!</v>
      </c>
      <c r="K170" s="167" t="e">
        <f t="shared" si="114"/>
        <v>#DIV/0!</v>
      </c>
      <c r="L170" s="167" t="e">
        <f t="shared" si="115"/>
        <v>#DIV/0!</v>
      </c>
      <c r="M170" s="167"/>
      <c r="N170" s="172" t="e">
        <f t="shared" si="117"/>
        <v>#DIV/0!</v>
      </c>
      <c r="O170" s="172" t="e">
        <f t="shared" si="118"/>
        <v>#DIV/0!</v>
      </c>
      <c r="P170" s="172" t="e">
        <f t="shared" si="119"/>
        <v>#DIV/0!</v>
      </c>
      <c r="Q170" s="172" t="e">
        <f t="shared" si="120"/>
        <v>#DIV/0!</v>
      </c>
      <c r="R170" s="172" t="e">
        <f t="shared" si="121"/>
        <v>#DIV/0!</v>
      </c>
      <c r="S170" s="172" t="e">
        <f t="shared" si="122"/>
        <v>#DIV/0!</v>
      </c>
      <c r="T170" s="172" t="e">
        <f t="shared" si="123"/>
        <v>#DIV/0!</v>
      </c>
      <c r="EW170" s="166"/>
      <c r="EX170" s="166"/>
    </row>
    <row r="171" spans="1:154" s="241" customFormat="1" ht="18" customHeight="1" x14ac:dyDescent="0.2">
      <c r="A171" s="248">
        <f t="shared" si="106"/>
        <v>0</v>
      </c>
      <c r="B171" s="241" t="str">
        <f t="shared" si="107"/>
        <v>Übung 15</v>
      </c>
      <c r="C171" s="242"/>
      <c r="D171" s="242"/>
      <c r="E171" s="249" t="e">
        <f t="shared" si="108"/>
        <v>#DIV/0!</v>
      </c>
      <c r="F171" s="250" t="e">
        <f t="shared" si="109"/>
        <v>#DIV/0!</v>
      </c>
      <c r="G171" s="250" t="e">
        <f t="shared" si="110"/>
        <v>#DIV/0!</v>
      </c>
      <c r="H171" s="250" t="e">
        <f t="shared" si="111"/>
        <v>#DIV/0!</v>
      </c>
      <c r="I171" s="250" t="e">
        <f t="shared" si="112"/>
        <v>#DIV/0!</v>
      </c>
      <c r="J171" s="250" t="e">
        <f t="shared" si="113"/>
        <v>#DIV/0!</v>
      </c>
      <c r="K171" s="250" t="e">
        <f t="shared" si="114"/>
        <v>#DIV/0!</v>
      </c>
      <c r="L171" s="250" t="e">
        <f t="shared" si="115"/>
        <v>#DIV/0!</v>
      </c>
      <c r="M171" s="250"/>
      <c r="N171" s="251" t="e">
        <f t="shared" si="117"/>
        <v>#DIV/0!</v>
      </c>
      <c r="O171" s="251" t="e">
        <f t="shared" si="118"/>
        <v>#DIV/0!</v>
      </c>
      <c r="P171" s="251" t="e">
        <f t="shared" si="119"/>
        <v>#DIV/0!</v>
      </c>
      <c r="Q171" s="251" t="e">
        <f t="shared" si="120"/>
        <v>#DIV/0!</v>
      </c>
      <c r="R171" s="251" t="e">
        <f t="shared" si="121"/>
        <v>#DIV/0!</v>
      </c>
      <c r="S171" s="251" t="e">
        <f t="shared" si="122"/>
        <v>#DIV/0!</v>
      </c>
      <c r="T171" s="251" t="e">
        <f t="shared" si="123"/>
        <v>#DIV/0!</v>
      </c>
      <c r="EW171" s="247"/>
      <c r="EX171" s="247"/>
    </row>
    <row r="172" spans="1:154" s="153" customFormat="1" ht="18" hidden="1" customHeight="1" x14ac:dyDescent="0.2">
      <c r="A172" s="170">
        <f t="shared" si="106"/>
        <v>0</v>
      </c>
      <c r="B172" s="153">
        <f t="shared" si="107"/>
        <v>0</v>
      </c>
      <c r="C172" s="168"/>
      <c r="D172" s="168"/>
      <c r="E172" s="169" t="e">
        <f t="shared" si="108"/>
        <v>#DIV/0!</v>
      </c>
      <c r="F172" s="167" t="e">
        <f t="shared" si="109"/>
        <v>#DIV/0!</v>
      </c>
      <c r="G172" s="167" t="e">
        <f t="shared" si="110"/>
        <v>#DIV/0!</v>
      </c>
      <c r="H172" s="167" t="e">
        <f t="shared" si="111"/>
        <v>#DIV/0!</v>
      </c>
      <c r="I172" s="167" t="e">
        <f t="shared" si="112"/>
        <v>#DIV/0!</v>
      </c>
      <c r="J172" s="167" t="e">
        <f t="shared" si="113"/>
        <v>#DIV/0!</v>
      </c>
      <c r="K172" s="167" t="e">
        <f t="shared" si="114"/>
        <v>#DIV/0!</v>
      </c>
      <c r="L172" s="167" t="e">
        <f t="shared" si="115"/>
        <v>#DIV/0!</v>
      </c>
      <c r="M172" s="167"/>
      <c r="N172" s="172" t="e">
        <f t="shared" si="117"/>
        <v>#DIV/0!</v>
      </c>
      <c r="O172" s="172" t="e">
        <f t="shared" si="118"/>
        <v>#DIV/0!</v>
      </c>
      <c r="P172" s="172" t="e">
        <f t="shared" si="119"/>
        <v>#DIV/0!</v>
      </c>
      <c r="Q172" s="172" t="e">
        <f t="shared" si="120"/>
        <v>#DIV/0!</v>
      </c>
      <c r="R172" s="172" t="e">
        <f t="shared" si="121"/>
        <v>#DIV/0!</v>
      </c>
      <c r="S172" s="172" t="e">
        <f t="shared" si="122"/>
        <v>#DIV/0!</v>
      </c>
      <c r="T172" s="172" t="e">
        <f t="shared" si="123"/>
        <v>#DIV/0!</v>
      </c>
      <c r="EW172" s="166"/>
      <c r="EX172" s="166"/>
    </row>
    <row r="173" spans="1:154" s="241" customFormat="1" ht="18" customHeight="1" x14ac:dyDescent="0.2">
      <c r="A173" s="248">
        <f t="shared" si="106"/>
        <v>0</v>
      </c>
      <c r="B173" s="241" t="str">
        <f t="shared" si="107"/>
        <v>Übung 16</v>
      </c>
      <c r="C173" s="242"/>
      <c r="D173" s="242"/>
      <c r="E173" s="249" t="e">
        <f t="shared" si="108"/>
        <v>#DIV/0!</v>
      </c>
      <c r="F173" s="250" t="e">
        <f t="shared" si="109"/>
        <v>#DIV/0!</v>
      </c>
      <c r="G173" s="250" t="e">
        <f t="shared" si="110"/>
        <v>#DIV/0!</v>
      </c>
      <c r="H173" s="250" t="e">
        <f t="shared" si="111"/>
        <v>#DIV/0!</v>
      </c>
      <c r="I173" s="250" t="e">
        <f t="shared" si="112"/>
        <v>#DIV/0!</v>
      </c>
      <c r="J173" s="250" t="e">
        <f t="shared" si="113"/>
        <v>#DIV/0!</v>
      </c>
      <c r="K173" s="250" t="e">
        <f t="shared" si="114"/>
        <v>#DIV/0!</v>
      </c>
      <c r="L173" s="250" t="e">
        <f t="shared" si="115"/>
        <v>#DIV/0!</v>
      </c>
      <c r="M173" s="250"/>
      <c r="N173" s="251" t="e">
        <f t="shared" si="117"/>
        <v>#DIV/0!</v>
      </c>
      <c r="O173" s="251" t="e">
        <f t="shared" si="118"/>
        <v>#DIV/0!</v>
      </c>
      <c r="P173" s="251" t="e">
        <f t="shared" si="119"/>
        <v>#DIV/0!</v>
      </c>
      <c r="Q173" s="251" t="e">
        <f t="shared" si="120"/>
        <v>#DIV/0!</v>
      </c>
      <c r="R173" s="251" t="e">
        <f t="shared" si="121"/>
        <v>#DIV/0!</v>
      </c>
      <c r="S173" s="251" t="e">
        <f t="shared" si="122"/>
        <v>#DIV/0!</v>
      </c>
      <c r="T173" s="251" t="e">
        <f t="shared" si="123"/>
        <v>#DIV/0!</v>
      </c>
      <c r="EW173" s="247"/>
      <c r="EX173" s="247"/>
    </row>
    <row r="174" spans="1:154" s="153" customFormat="1" ht="18" hidden="1" customHeight="1" x14ac:dyDescent="0.2">
      <c r="A174" s="170">
        <f t="shared" si="106"/>
        <v>0</v>
      </c>
      <c r="B174" s="153">
        <f t="shared" si="107"/>
        <v>0</v>
      </c>
      <c r="C174" s="168"/>
      <c r="D174" s="168"/>
      <c r="E174" s="169" t="e">
        <f t="shared" si="108"/>
        <v>#DIV/0!</v>
      </c>
      <c r="F174" s="167" t="e">
        <f t="shared" si="109"/>
        <v>#DIV/0!</v>
      </c>
      <c r="G174" s="167" t="e">
        <f t="shared" si="110"/>
        <v>#DIV/0!</v>
      </c>
      <c r="H174" s="167" t="e">
        <f t="shared" si="111"/>
        <v>#DIV/0!</v>
      </c>
      <c r="I174" s="167" t="e">
        <f t="shared" si="112"/>
        <v>#DIV/0!</v>
      </c>
      <c r="J174" s="167" t="e">
        <f t="shared" si="113"/>
        <v>#DIV/0!</v>
      </c>
      <c r="K174" s="167" t="e">
        <f t="shared" si="114"/>
        <v>#DIV/0!</v>
      </c>
      <c r="L174" s="167" t="e">
        <f t="shared" si="115"/>
        <v>#DIV/0!</v>
      </c>
      <c r="M174" s="167"/>
      <c r="N174" s="172" t="e">
        <f t="shared" si="117"/>
        <v>#DIV/0!</v>
      </c>
      <c r="O174" s="172" t="e">
        <f t="shared" si="118"/>
        <v>#DIV/0!</v>
      </c>
      <c r="P174" s="172" t="e">
        <f t="shared" si="119"/>
        <v>#DIV/0!</v>
      </c>
      <c r="Q174" s="172" t="e">
        <f t="shared" si="120"/>
        <v>#DIV/0!</v>
      </c>
      <c r="R174" s="172" t="e">
        <f t="shared" si="121"/>
        <v>#DIV/0!</v>
      </c>
      <c r="S174" s="172" t="e">
        <f t="shared" si="122"/>
        <v>#DIV/0!</v>
      </c>
      <c r="T174" s="172" t="e">
        <f t="shared" si="123"/>
        <v>#DIV/0!</v>
      </c>
      <c r="EW174" s="166"/>
      <c r="EX174" s="166"/>
    </row>
    <row r="175" spans="1:154" s="241" customFormat="1" ht="18" customHeight="1" x14ac:dyDescent="0.2">
      <c r="A175" s="248">
        <f t="shared" ref="A175:A201" si="124">EH36</f>
        <v>0</v>
      </c>
      <c r="B175" s="241" t="str">
        <f t="shared" ref="B175:B201" si="125">A36</f>
        <v>Übung 17</v>
      </c>
      <c r="C175" s="242"/>
      <c r="D175" s="242"/>
      <c r="E175" s="249" t="e">
        <f t="shared" ref="E175:E201" si="126">EX36</f>
        <v>#DIV/0!</v>
      </c>
      <c r="F175" s="250" t="e">
        <f t="shared" ref="F175:F201" si="127">EI36/$EH36</f>
        <v>#DIV/0!</v>
      </c>
      <c r="G175" s="250" t="e">
        <f t="shared" ref="G175:G201" si="128">EJ36/$EH36</f>
        <v>#DIV/0!</v>
      </c>
      <c r="H175" s="250" t="e">
        <f t="shared" ref="H175:H201" si="129">EK36/$EH36</f>
        <v>#DIV/0!</v>
      </c>
      <c r="I175" s="250" t="e">
        <f t="shared" ref="I175:I201" si="130">EL36/$EH36</f>
        <v>#DIV/0!</v>
      </c>
      <c r="J175" s="250" t="e">
        <f t="shared" ref="J175:J201" si="131">EM36/$EH36</f>
        <v>#DIV/0!</v>
      </c>
      <c r="K175" s="250" t="e">
        <f t="shared" ref="K175:K201" si="132">EN36/$EH36</f>
        <v>#DIV/0!</v>
      </c>
      <c r="L175" s="250" t="e">
        <f t="shared" ref="L175:L201" si="133">EO36/$EH36</f>
        <v>#DIV/0!</v>
      </c>
      <c r="M175" s="250"/>
      <c r="N175" s="251" t="e">
        <f t="shared" si="117"/>
        <v>#DIV/0!</v>
      </c>
      <c r="O175" s="251" t="e">
        <f t="shared" si="118"/>
        <v>#DIV/0!</v>
      </c>
      <c r="P175" s="251" t="e">
        <f t="shared" si="119"/>
        <v>#DIV/0!</v>
      </c>
      <c r="Q175" s="251" t="e">
        <f t="shared" si="120"/>
        <v>#DIV/0!</v>
      </c>
      <c r="R175" s="251" t="e">
        <f t="shared" si="121"/>
        <v>#DIV/0!</v>
      </c>
      <c r="S175" s="251" t="e">
        <f t="shared" si="122"/>
        <v>#DIV/0!</v>
      </c>
      <c r="T175" s="251" t="e">
        <f t="shared" si="123"/>
        <v>#DIV/0!</v>
      </c>
      <c r="EW175" s="247"/>
      <c r="EX175" s="247"/>
    </row>
    <row r="176" spans="1:154" s="153" customFormat="1" ht="18" hidden="1" customHeight="1" x14ac:dyDescent="0.2">
      <c r="A176" s="170">
        <f t="shared" si="124"/>
        <v>0</v>
      </c>
      <c r="B176" s="153">
        <f t="shared" si="125"/>
        <v>0</v>
      </c>
      <c r="C176" s="168"/>
      <c r="D176" s="168"/>
      <c r="E176" s="169" t="e">
        <f t="shared" si="126"/>
        <v>#DIV/0!</v>
      </c>
      <c r="F176" s="167" t="e">
        <f t="shared" si="127"/>
        <v>#DIV/0!</v>
      </c>
      <c r="G176" s="167" t="e">
        <f t="shared" si="128"/>
        <v>#DIV/0!</v>
      </c>
      <c r="H176" s="167" t="e">
        <f t="shared" si="129"/>
        <v>#DIV/0!</v>
      </c>
      <c r="I176" s="167" t="e">
        <f t="shared" si="130"/>
        <v>#DIV/0!</v>
      </c>
      <c r="J176" s="167" t="e">
        <f t="shared" si="131"/>
        <v>#DIV/0!</v>
      </c>
      <c r="K176" s="167" t="e">
        <f t="shared" si="132"/>
        <v>#DIV/0!</v>
      </c>
      <c r="L176" s="167" t="e">
        <f t="shared" si="133"/>
        <v>#DIV/0!</v>
      </c>
      <c r="M176" s="167"/>
      <c r="N176" s="172" t="e">
        <f t="shared" si="117"/>
        <v>#DIV/0!</v>
      </c>
      <c r="O176" s="172" t="e">
        <f t="shared" si="118"/>
        <v>#DIV/0!</v>
      </c>
      <c r="P176" s="172" t="e">
        <f t="shared" si="119"/>
        <v>#DIV/0!</v>
      </c>
      <c r="Q176" s="172" t="e">
        <f t="shared" si="120"/>
        <v>#DIV/0!</v>
      </c>
      <c r="R176" s="172" t="e">
        <f t="shared" si="121"/>
        <v>#DIV/0!</v>
      </c>
      <c r="S176" s="172" t="e">
        <f t="shared" si="122"/>
        <v>#DIV/0!</v>
      </c>
      <c r="T176" s="172" t="e">
        <f t="shared" si="123"/>
        <v>#DIV/0!</v>
      </c>
      <c r="EW176" s="166"/>
      <c r="EX176" s="166"/>
    </row>
    <row r="177" spans="1:154" s="241" customFormat="1" ht="18" customHeight="1" x14ac:dyDescent="0.2">
      <c r="A177" s="248">
        <f t="shared" si="124"/>
        <v>0</v>
      </c>
      <c r="B177" s="241" t="str">
        <f t="shared" si="125"/>
        <v>Übung 18</v>
      </c>
      <c r="C177" s="242"/>
      <c r="D177" s="242"/>
      <c r="E177" s="249" t="e">
        <f t="shared" si="126"/>
        <v>#DIV/0!</v>
      </c>
      <c r="F177" s="250" t="e">
        <f t="shared" si="127"/>
        <v>#DIV/0!</v>
      </c>
      <c r="G177" s="250" t="e">
        <f t="shared" si="128"/>
        <v>#DIV/0!</v>
      </c>
      <c r="H177" s="250" t="e">
        <f t="shared" si="129"/>
        <v>#DIV/0!</v>
      </c>
      <c r="I177" s="250" t="e">
        <f t="shared" si="130"/>
        <v>#DIV/0!</v>
      </c>
      <c r="J177" s="250" t="e">
        <f t="shared" si="131"/>
        <v>#DIV/0!</v>
      </c>
      <c r="K177" s="250" t="e">
        <f t="shared" si="132"/>
        <v>#DIV/0!</v>
      </c>
      <c r="L177" s="250" t="e">
        <f t="shared" si="133"/>
        <v>#DIV/0!</v>
      </c>
      <c r="M177" s="250"/>
      <c r="N177" s="251" t="e">
        <f t="shared" si="117"/>
        <v>#DIV/0!</v>
      </c>
      <c r="O177" s="251" t="e">
        <f t="shared" si="118"/>
        <v>#DIV/0!</v>
      </c>
      <c r="P177" s="251" t="e">
        <f t="shared" si="119"/>
        <v>#DIV/0!</v>
      </c>
      <c r="Q177" s="251" t="e">
        <f t="shared" si="120"/>
        <v>#DIV/0!</v>
      </c>
      <c r="R177" s="251" t="e">
        <f t="shared" si="121"/>
        <v>#DIV/0!</v>
      </c>
      <c r="S177" s="251" t="e">
        <f t="shared" si="122"/>
        <v>#DIV/0!</v>
      </c>
      <c r="T177" s="251" t="e">
        <f t="shared" si="123"/>
        <v>#DIV/0!</v>
      </c>
      <c r="EW177" s="247"/>
      <c r="EX177" s="247"/>
    </row>
    <row r="178" spans="1:154" s="153" customFormat="1" ht="18" hidden="1" customHeight="1" x14ac:dyDescent="0.2">
      <c r="A178" s="170">
        <f t="shared" si="124"/>
        <v>0</v>
      </c>
      <c r="B178" s="153">
        <f t="shared" si="125"/>
        <v>0</v>
      </c>
      <c r="C178" s="168"/>
      <c r="D178" s="168"/>
      <c r="E178" s="169" t="e">
        <f t="shared" si="126"/>
        <v>#DIV/0!</v>
      </c>
      <c r="F178" s="167" t="e">
        <f t="shared" si="127"/>
        <v>#DIV/0!</v>
      </c>
      <c r="G178" s="167" t="e">
        <f t="shared" si="128"/>
        <v>#DIV/0!</v>
      </c>
      <c r="H178" s="167" t="e">
        <f t="shared" si="129"/>
        <v>#DIV/0!</v>
      </c>
      <c r="I178" s="167" t="e">
        <f t="shared" si="130"/>
        <v>#DIV/0!</v>
      </c>
      <c r="J178" s="167" t="e">
        <f t="shared" si="131"/>
        <v>#DIV/0!</v>
      </c>
      <c r="K178" s="167" t="e">
        <f t="shared" si="132"/>
        <v>#DIV/0!</v>
      </c>
      <c r="L178" s="167" t="e">
        <f t="shared" si="133"/>
        <v>#DIV/0!</v>
      </c>
      <c r="M178" s="167"/>
      <c r="N178" s="172" t="e">
        <f t="shared" si="117"/>
        <v>#DIV/0!</v>
      </c>
      <c r="O178" s="172" t="e">
        <f t="shared" si="118"/>
        <v>#DIV/0!</v>
      </c>
      <c r="P178" s="172" t="e">
        <f t="shared" si="119"/>
        <v>#DIV/0!</v>
      </c>
      <c r="Q178" s="172" t="e">
        <f t="shared" si="120"/>
        <v>#DIV/0!</v>
      </c>
      <c r="R178" s="172" t="e">
        <f t="shared" si="121"/>
        <v>#DIV/0!</v>
      </c>
      <c r="S178" s="172" t="e">
        <f t="shared" si="122"/>
        <v>#DIV/0!</v>
      </c>
      <c r="T178" s="172" t="e">
        <f t="shared" si="123"/>
        <v>#DIV/0!</v>
      </c>
      <c r="EW178" s="166"/>
      <c r="EX178" s="166"/>
    </row>
    <row r="179" spans="1:154" s="241" customFormat="1" ht="18" customHeight="1" x14ac:dyDescent="0.2">
      <c r="A179" s="248">
        <f t="shared" si="124"/>
        <v>0</v>
      </c>
      <c r="B179" s="241" t="str">
        <f t="shared" si="125"/>
        <v>Übung 19</v>
      </c>
      <c r="C179" s="242"/>
      <c r="D179" s="242"/>
      <c r="E179" s="249" t="e">
        <f>EX40</f>
        <v>#DIV/0!</v>
      </c>
      <c r="F179" s="250" t="e">
        <f t="shared" si="127"/>
        <v>#DIV/0!</v>
      </c>
      <c r="G179" s="250" t="e">
        <f t="shared" si="128"/>
        <v>#DIV/0!</v>
      </c>
      <c r="H179" s="250" t="e">
        <f t="shared" si="129"/>
        <v>#DIV/0!</v>
      </c>
      <c r="I179" s="250" t="e">
        <f t="shared" si="130"/>
        <v>#DIV/0!</v>
      </c>
      <c r="J179" s="250" t="e">
        <f t="shared" si="131"/>
        <v>#DIV/0!</v>
      </c>
      <c r="K179" s="250" t="e">
        <f t="shared" si="132"/>
        <v>#DIV/0!</v>
      </c>
      <c r="L179" s="250" t="e">
        <f t="shared" si="133"/>
        <v>#DIV/0!</v>
      </c>
      <c r="M179" s="250"/>
      <c r="N179" s="251" t="e">
        <f t="shared" si="117"/>
        <v>#DIV/0!</v>
      </c>
      <c r="O179" s="251" t="e">
        <f t="shared" si="118"/>
        <v>#DIV/0!</v>
      </c>
      <c r="P179" s="251" t="e">
        <f t="shared" si="119"/>
        <v>#DIV/0!</v>
      </c>
      <c r="Q179" s="251" t="e">
        <f t="shared" si="120"/>
        <v>#DIV/0!</v>
      </c>
      <c r="R179" s="251" t="e">
        <f>ET40/$EH40</f>
        <v>#DIV/0!</v>
      </c>
      <c r="S179" s="251" t="e">
        <f t="shared" si="122"/>
        <v>#DIV/0!</v>
      </c>
      <c r="T179" s="251" t="e">
        <f t="shared" si="123"/>
        <v>#DIV/0!</v>
      </c>
      <c r="EW179" s="247"/>
      <c r="EX179" s="247"/>
    </row>
    <row r="180" spans="1:154" s="153" customFormat="1" ht="18" hidden="1" customHeight="1" x14ac:dyDescent="0.2">
      <c r="A180" s="170">
        <f t="shared" si="124"/>
        <v>0</v>
      </c>
      <c r="B180" s="153">
        <f t="shared" si="125"/>
        <v>0</v>
      </c>
      <c r="C180" s="168"/>
      <c r="D180" s="168"/>
      <c r="E180" s="169" t="e">
        <f t="shared" si="126"/>
        <v>#DIV/0!</v>
      </c>
      <c r="F180" s="167" t="e">
        <f t="shared" si="127"/>
        <v>#DIV/0!</v>
      </c>
      <c r="G180" s="167" t="e">
        <f t="shared" si="128"/>
        <v>#DIV/0!</v>
      </c>
      <c r="H180" s="167" t="e">
        <f t="shared" si="129"/>
        <v>#DIV/0!</v>
      </c>
      <c r="I180" s="167" t="e">
        <f t="shared" si="130"/>
        <v>#DIV/0!</v>
      </c>
      <c r="J180" s="167" t="e">
        <f t="shared" si="131"/>
        <v>#DIV/0!</v>
      </c>
      <c r="K180" s="167" t="e">
        <f t="shared" si="132"/>
        <v>#DIV/0!</v>
      </c>
      <c r="L180" s="167" t="e">
        <f t="shared" si="133"/>
        <v>#DIV/0!</v>
      </c>
      <c r="M180" s="167"/>
      <c r="N180" s="172" t="e">
        <f t="shared" si="117"/>
        <v>#DIV/0!</v>
      </c>
      <c r="O180" s="172" t="e">
        <f t="shared" si="118"/>
        <v>#DIV/0!</v>
      </c>
      <c r="P180" s="172" t="e">
        <f t="shared" si="119"/>
        <v>#DIV/0!</v>
      </c>
      <c r="Q180" s="172" t="e">
        <f t="shared" si="120"/>
        <v>#DIV/0!</v>
      </c>
      <c r="R180" s="172" t="e">
        <f t="shared" si="121"/>
        <v>#DIV/0!</v>
      </c>
      <c r="S180" s="172" t="e">
        <f t="shared" si="122"/>
        <v>#DIV/0!</v>
      </c>
      <c r="T180" s="172" t="e">
        <f t="shared" si="123"/>
        <v>#DIV/0!</v>
      </c>
      <c r="EW180" s="166"/>
      <c r="EX180" s="166"/>
    </row>
    <row r="181" spans="1:154" s="241" customFormat="1" ht="18" customHeight="1" x14ac:dyDescent="0.2">
      <c r="A181" s="248">
        <f t="shared" si="124"/>
        <v>0</v>
      </c>
      <c r="B181" s="241" t="str">
        <f t="shared" si="125"/>
        <v>Übung 20</v>
      </c>
      <c r="C181" s="242"/>
      <c r="D181" s="242"/>
      <c r="E181" s="249" t="e">
        <f t="shared" si="126"/>
        <v>#DIV/0!</v>
      </c>
      <c r="F181" s="250" t="e">
        <f t="shared" si="127"/>
        <v>#DIV/0!</v>
      </c>
      <c r="G181" s="250" t="e">
        <f t="shared" si="128"/>
        <v>#DIV/0!</v>
      </c>
      <c r="H181" s="250" t="e">
        <f t="shared" si="129"/>
        <v>#DIV/0!</v>
      </c>
      <c r="I181" s="250" t="e">
        <f t="shared" si="130"/>
        <v>#DIV/0!</v>
      </c>
      <c r="J181" s="250" t="e">
        <f t="shared" si="131"/>
        <v>#DIV/0!</v>
      </c>
      <c r="K181" s="250" t="e">
        <f t="shared" si="132"/>
        <v>#DIV/0!</v>
      </c>
      <c r="L181" s="250" t="e">
        <f t="shared" si="133"/>
        <v>#DIV/0!</v>
      </c>
      <c r="M181" s="250"/>
      <c r="N181" s="251" t="e">
        <f t="shared" si="117"/>
        <v>#DIV/0!</v>
      </c>
      <c r="O181" s="251" t="e">
        <f t="shared" si="118"/>
        <v>#DIV/0!</v>
      </c>
      <c r="P181" s="251" t="e">
        <f t="shared" si="119"/>
        <v>#DIV/0!</v>
      </c>
      <c r="Q181" s="251" t="e">
        <f t="shared" si="120"/>
        <v>#DIV/0!</v>
      </c>
      <c r="R181" s="251" t="e">
        <f t="shared" si="121"/>
        <v>#DIV/0!</v>
      </c>
      <c r="S181" s="251" t="e">
        <f t="shared" si="122"/>
        <v>#DIV/0!</v>
      </c>
      <c r="T181" s="251" t="e">
        <f t="shared" si="123"/>
        <v>#DIV/0!</v>
      </c>
      <c r="EW181" s="247"/>
      <c r="EX181" s="247"/>
    </row>
    <row r="182" spans="1:154" s="153" customFormat="1" ht="18" hidden="1" customHeight="1" x14ac:dyDescent="0.2">
      <c r="A182" s="170">
        <f t="shared" si="124"/>
        <v>0</v>
      </c>
      <c r="B182" s="153">
        <f t="shared" si="125"/>
        <v>0</v>
      </c>
      <c r="C182" s="168"/>
      <c r="D182" s="168"/>
      <c r="E182" s="169" t="e">
        <f t="shared" si="126"/>
        <v>#DIV/0!</v>
      </c>
      <c r="F182" s="167" t="e">
        <f t="shared" si="127"/>
        <v>#DIV/0!</v>
      </c>
      <c r="G182" s="167" t="e">
        <f t="shared" si="128"/>
        <v>#DIV/0!</v>
      </c>
      <c r="H182" s="167" t="e">
        <f t="shared" si="129"/>
        <v>#DIV/0!</v>
      </c>
      <c r="I182" s="167" t="e">
        <f t="shared" si="130"/>
        <v>#DIV/0!</v>
      </c>
      <c r="J182" s="167" t="e">
        <f t="shared" si="131"/>
        <v>#DIV/0!</v>
      </c>
      <c r="K182" s="167" t="e">
        <f t="shared" si="132"/>
        <v>#DIV/0!</v>
      </c>
      <c r="L182" s="167" t="e">
        <f t="shared" si="133"/>
        <v>#DIV/0!</v>
      </c>
      <c r="M182" s="167"/>
      <c r="N182" s="172" t="e">
        <f t="shared" si="117"/>
        <v>#DIV/0!</v>
      </c>
      <c r="O182" s="172" t="e">
        <f t="shared" si="118"/>
        <v>#DIV/0!</v>
      </c>
      <c r="P182" s="172" t="e">
        <f t="shared" si="119"/>
        <v>#DIV/0!</v>
      </c>
      <c r="Q182" s="172" t="e">
        <f t="shared" si="120"/>
        <v>#DIV/0!</v>
      </c>
      <c r="R182" s="172" t="e">
        <f t="shared" si="121"/>
        <v>#DIV/0!</v>
      </c>
      <c r="S182" s="172" t="e">
        <f t="shared" si="122"/>
        <v>#DIV/0!</v>
      </c>
      <c r="T182" s="172" t="e">
        <f t="shared" si="123"/>
        <v>#DIV/0!</v>
      </c>
      <c r="EW182" s="166"/>
      <c r="EX182" s="166"/>
    </row>
    <row r="183" spans="1:154" s="241" customFormat="1" ht="18" customHeight="1" x14ac:dyDescent="0.2">
      <c r="A183" s="248">
        <f t="shared" si="124"/>
        <v>0</v>
      </c>
      <c r="B183" s="241" t="str">
        <f t="shared" si="125"/>
        <v>Übung 21</v>
      </c>
      <c r="C183" s="242"/>
      <c r="D183" s="242"/>
      <c r="E183" s="249" t="e">
        <f t="shared" si="126"/>
        <v>#DIV/0!</v>
      </c>
      <c r="F183" s="250" t="e">
        <f t="shared" si="127"/>
        <v>#DIV/0!</v>
      </c>
      <c r="G183" s="250" t="e">
        <f t="shared" si="128"/>
        <v>#DIV/0!</v>
      </c>
      <c r="H183" s="250" t="e">
        <f t="shared" si="129"/>
        <v>#DIV/0!</v>
      </c>
      <c r="I183" s="250" t="e">
        <f t="shared" si="130"/>
        <v>#DIV/0!</v>
      </c>
      <c r="J183" s="250" t="e">
        <f t="shared" si="131"/>
        <v>#DIV/0!</v>
      </c>
      <c r="K183" s="250" t="e">
        <f t="shared" si="132"/>
        <v>#DIV/0!</v>
      </c>
      <c r="L183" s="250" t="e">
        <f t="shared" si="133"/>
        <v>#DIV/0!</v>
      </c>
      <c r="M183" s="250"/>
      <c r="N183" s="251" t="e">
        <f t="shared" si="117"/>
        <v>#DIV/0!</v>
      </c>
      <c r="O183" s="251" t="e">
        <f t="shared" si="118"/>
        <v>#DIV/0!</v>
      </c>
      <c r="P183" s="251" t="e">
        <f t="shared" si="119"/>
        <v>#DIV/0!</v>
      </c>
      <c r="Q183" s="251" t="e">
        <f t="shared" si="120"/>
        <v>#DIV/0!</v>
      </c>
      <c r="R183" s="251" t="e">
        <f t="shared" si="121"/>
        <v>#DIV/0!</v>
      </c>
      <c r="S183" s="251" t="e">
        <f t="shared" si="122"/>
        <v>#DIV/0!</v>
      </c>
      <c r="T183" s="251" t="e">
        <f t="shared" si="123"/>
        <v>#DIV/0!</v>
      </c>
      <c r="EW183" s="247"/>
      <c r="EX183" s="247"/>
    </row>
    <row r="184" spans="1:154" s="153" customFormat="1" ht="18" hidden="1" customHeight="1" x14ac:dyDescent="0.2">
      <c r="A184" s="170">
        <f t="shared" si="124"/>
        <v>0</v>
      </c>
      <c r="B184" s="153">
        <f t="shared" si="125"/>
        <v>0</v>
      </c>
      <c r="C184" s="168"/>
      <c r="D184" s="168"/>
      <c r="E184" s="169" t="e">
        <f t="shared" si="126"/>
        <v>#DIV/0!</v>
      </c>
      <c r="F184" s="167" t="e">
        <f t="shared" si="127"/>
        <v>#DIV/0!</v>
      </c>
      <c r="G184" s="167" t="e">
        <f t="shared" si="128"/>
        <v>#DIV/0!</v>
      </c>
      <c r="H184" s="167" t="e">
        <f t="shared" si="129"/>
        <v>#DIV/0!</v>
      </c>
      <c r="I184" s="167" t="e">
        <f t="shared" si="130"/>
        <v>#DIV/0!</v>
      </c>
      <c r="J184" s="167" t="e">
        <f t="shared" si="131"/>
        <v>#DIV/0!</v>
      </c>
      <c r="K184" s="167" t="e">
        <f t="shared" si="132"/>
        <v>#DIV/0!</v>
      </c>
      <c r="L184" s="167" t="e">
        <f t="shared" si="133"/>
        <v>#DIV/0!</v>
      </c>
      <c r="M184" s="167"/>
      <c r="N184" s="172" t="e">
        <f t="shared" si="117"/>
        <v>#DIV/0!</v>
      </c>
      <c r="O184" s="172" t="e">
        <f t="shared" si="118"/>
        <v>#DIV/0!</v>
      </c>
      <c r="P184" s="172" t="e">
        <f t="shared" si="119"/>
        <v>#DIV/0!</v>
      </c>
      <c r="Q184" s="172" t="e">
        <f t="shared" si="120"/>
        <v>#DIV/0!</v>
      </c>
      <c r="R184" s="172" t="e">
        <f t="shared" si="121"/>
        <v>#DIV/0!</v>
      </c>
      <c r="S184" s="172" t="e">
        <f t="shared" si="122"/>
        <v>#DIV/0!</v>
      </c>
      <c r="T184" s="172" t="e">
        <f t="shared" si="123"/>
        <v>#DIV/0!</v>
      </c>
      <c r="EW184" s="166"/>
      <c r="EX184" s="166"/>
    </row>
    <row r="185" spans="1:154" s="241" customFormat="1" ht="18" customHeight="1" x14ac:dyDescent="0.2">
      <c r="A185" s="248">
        <f t="shared" si="124"/>
        <v>0</v>
      </c>
      <c r="B185" s="241" t="str">
        <f t="shared" si="125"/>
        <v>Übung 22</v>
      </c>
      <c r="C185" s="242"/>
      <c r="D185" s="242"/>
      <c r="E185" s="249" t="e">
        <f t="shared" si="126"/>
        <v>#DIV/0!</v>
      </c>
      <c r="F185" s="250" t="e">
        <f t="shared" si="127"/>
        <v>#DIV/0!</v>
      </c>
      <c r="G185" s="250" t="e">
        <f t="shared" si="128"/>
        <v>#DIV/0!</v>
      </c>
      <c r="H185" s="250" t="e">
        <f t="shared" si="129"/>
        <v>#DIV/0!</v>
      </c>
      <c r="I185" s="250" t="e">
        <f t="shared" si="130"/>
        <v>#DIV/0!</v>
      </c>
      <c r="J185" s="250" t="e">
        <f t="shared" si="131"/>
        <v>#DIV/0!</v>
      </c>
      <c r="K185" s="250" t="e">
        <f t="shared" si="132"/>
        <v>#DIV/0!</v>
      </c>
      <c r="L185" s="250" t="e">
        <f t="shared" si="133"/>
        <v>#DIV/0!</v>
      </c>
      <c r="M185" s="250"/>
      <c r="N185" s="251" t="e">
        <f t="shared" si="117"/>
        <v>#DIV/0!</v>
      </c>
      <c r="O185" s="251" t="e">
        <f t="shared" si="118"/>
        <v>#DIV/0!</v>
      </c>
      <c r="P185" s="251" t="e">
        <f t="shared" si="119"/>
        <v>#DIV/0!</v>
      </c>
      <c r="Q185" s="251" t="e">
        <f t="shared" si="120"/>
        <v>#DIV/0!</v>
      </c>
      <c r="R185" s="251" t="e">
        <f t="shared" si="121"/>
        <v>#DIV/0!</v>
      </c>
      <c r="S185" s="251" t="e">
        <f t="shared" si="122"/>
        <v>#DIV/0!</v>
      </c>
      <c r="T185" s="251" t="e">
        <f t="shared" si="123"/>
        <v>#DIV/0!</v>
      </c>
      <c r="EW185" s="247"/>
      <c r="EX185" s="247"/>
    </row>
    <row r="186" spans="1:154" s="153" customFormat="1" ht="18" hidden="1" customHeight="1" x14ac:dyDescent="0.2">
      <c r="A186" s="170">
        <f t="shared" si="124"/>
        <v>0</v>
      </c>
      <c r="B186" s="153">
        <f t="shared" si="125"/>
        <v>0</v>
      </c>
      <c r="C186" s="168"/>
      <c r="D186" s="168"/>
      <c r="E186" s="169" t="e">
        <f t="shared" si="126"/>
        <v>#DIV/0!</v>
      </c>
      <c r="F186" s="167" t="e">
        <f t="shared" si="127"/>
        <v>#DIV/0!</v>
      </c>
      <c r="G186" s="167" t="e">
        <f t="shared" si="128"/>
        <v>#DIV/0!</v>
      </c>
      <c r="H186" s="167" t="e">
        <f t="shared" si="129"/>
        <v>#DIV/0!</v>
      </c>
      <c r="I186" s="167" t="e">
        <f t="shared" si="130"/>
        <v>#DIV/0!</v>
      </c>
      <c r="J186" s="167" t="e">
        <f t="shared" si="131"/>
        <v>#DIV/0!</v>
      </c>
      <c r="K186" s="167" t="e">
        <f t="shared" si="132"/>
        <v>#DIV/0!</v>
      </c>
      <c r="L186" s="167" t="e">
        <f t="shared" si="133"/>
        <v>#DIV/0!</v>
      </c>
      <c r="M186" s="167"/>
      <c r="N186" s="172" t="e">
        <f t="shared" si="117"/>
        <v>#DIV/0!</v>
      </c>
      <c r="O186" s="172" t="e">
        <f t="shared" si="118"/>
        <v>#DIV/0!</v>
      </c>
      <c r="P186" s="172" t="e">
        <f t="shared" si="119"/>
        <v>#DIV/0!</v>
      </c>
      <c r="Q186" s="172" t="e">
        <f t="shared" si="120"/>
        <v>#DIV/0!</v>
      </c>
      <c r="R186" s="172" t="e">
        <f t="shared" si="121"/>
        <v>#DIV/0!</v>
      </c>
      <c r="S186" s="172" t="e">
        <f t="shared" si="122"/>
        <v>#DIV/0!</v>
      </c>
      <c r="T186" s="172" t="e">
        <f t="shared" si="123"/>
        <v>#DIV/0!</v>
      </c>
      <c r="EW186" s="166"/>
      <c r="EX186" s="166"/>
    </row>
    <row r="187" spans="1:154" s="241" customFormat="1" ht="18" customHeight="1" x14ac:dyDescent="0.2">
      <c r="A187" s="248">
        <f t="shared" si="124"/>
        <v>0</v>
      </c>
      <c r="B187" s="241" t="str">
        <f t="shared" si="125"/>
        <v>Übung 23</v>
      </c>
      <c r="C187" s="242"/>
      <c r="D187" s="242"/>
      <c r="E187" s="249" t="e">
        <f t="shared" si="126"/>
        <v>#DIV/0!</v>
      </c>
      <c r="F187" s="250" t="e">
        <f t="shared" si="127"/>
        <v>#DIV/0!</v>
      </c>
      <c r="G187" s="250" t="e">
        <f t="shared" si="128"/>
        <v>#DIV/0!</v>
      </c>
      <c r="H187" s="250" t="e">
        <f t="shared" si="129"/>
        <v>#DIV/0!</v>
      </c>
      <c r="I187" s="250" t="e">
        <f t="shared" si="130"/>
        <v>#DIV/0!</v>
      </c>
      <c r="J187" s="250" t="e">
        <f t="shared" si="131"/>
        <v>#DIV/0!</v>
      </c>
      <c r="K187" s="250" t="e">
        <f t="shared" si="132"/>
        <v>#DIV/0!</v>
      </c>
      <c r="L187" s="250" t="e">
        <f t="shared" si="133"/>
        <v>#DIV/0!</v>
      </c>
      <c r="M187" s="250"/>
      <c r="N187" s="251" t="e">
        <f t="shared" si="117"/>
        <v>#DIV/0!</v>
      </c>
      <c r="O187" s="251" t="e">
        <f t="shared" si="118"/>
        <v>#DIV/0!</v>
      </c>
      <c r="P187" s="251" t="e">
        <f t="shared" si="119"/>
        <v>#DIV/0!</v>
      </c>
      <c r="Q187" s="251" t="e">
        <f t="shared" si="120"/>
        <v>#DIV/0!</v>
      </c>
      <c r="R187" s="251" t="e">
        <f t="shared" si="121"/>
        <v>#DIV/0!</v>
      </c>
      <c r="S187" s="251" t="e">
        <f t="shared" si="122"/>
        <v>#DIV/0!</v>
      </c>
      <c r="T187" s="251" t="e">
        <f t="shared" si="123"/>
        <v>#DIV/0!</v>
      </c>
      <c r="EW187" s="247"/>
      <c r="EX187" s="247"/>
    </row>
    <row r="188" spans="1:154" s="153" customFormat="1" ht="18" hidden="1" customHeight="1" x14ac:dyDescent="0.2">
      <c r="A188" s="170">
        <f t="shared" si="124"/>
        <v>0</v>
      </c>
      <c r="B188" s="153">
        <f t="shared" si="125"/>
        <v>0</v>
      </c>
      <c r="C188" s="168"/>
      <c r="D188" s="168"/>
      <c r="E188" s="169" t="e">
        <f t="shared" si="126"/>
        <v>#DIV/0!</v>
      </c>
      <c r="F188" s="167" t="e">
        <f t="shared" si="127"/>
        <v>#DIV/0!</v>
      </c>
      <c r="G188" s="167" t="e">
        <f t="shared" si="128"/>
        <v>#DIV/0!</v>
      </c>
      <c r="H188" s="167" t="e">
        <f t="shared" si="129"/>
        <v>#DIV/0!</v>
      </c>
      <c r="I188" s="167" t="e">
        <f t="shared" si="130"/>
        <v>#DIV/0!</v>
      </c>
      <c r="J188" s="167" t="e">
        <f t="shared" si="131"/>
        <v>#DIV/0!</v>
      </c>
      <c r="K188" s="167" t="e">
        <f t="shared" si="132"/>
        <v>#DIV/0!</v>
      </c>
      <c r="L188" s="167" t="e">
        <f t="shared" si="133"/>
        <v>#DIV/0!</v>
      </c>
      <c r="M188" s="167"/>
      <c r="N188" s="172" t="e">
        <f t="shared" si="117"/>
        <v>#DIV/0!</v>
      </c>
      <c r="O188" s="172" t="e">
        <f t="shared" si="118"/>
        <v>#DIV/0!</v>
      </c>
      <c r="P188" s="172" t="e">
        <f t="shared" si="119"/>
        <v>#DIV/0!</v>
      </c>
      <c r="Q188" s="172" t="e">
        <f t="shared" si="120"/>
        <v>#DIV/0!</v>
      </c>
      <c r="R188" s="172" t="e">
        <f t="shared" si="121"/>
        <v>#DIV/0!</v>
      </c>
      <c r="S188" s="172" t="e">
        <f t="shared" si="122"/>
        <v>#DIV/0!</v>
      </c>
      <c r="T188" s="172" t="e">
        <f t="shared" si="123"/>
        <v>#DIV/0!</v>
      </c>
      <c r="EW188" s="166"/>
      <c r="EX188" s="166"/>
    </row>
    <row r="189" spans="1:154" s="241" customFormat="1" ht="18" customHeight="1" x14ac:dyDescent="0.2">
      <c r="A189" s="248">
        <f t="shared" si="124"/>
        <v>0</v>
      </c>
      <c r="B189" s="241" t="str">
        <f t="shared" si="125"/>
        <v>Übung 24</v>
      </c>
      <c r="C189" s="242"/>
      <c r="D189" s="242"/>
      <c r="E189" s="249" t="e">
        <f t="shared" si="126"/>
        <v>#DIV/0!</v>
      </c>
      <c r="F189" s="250" t="e">
        <f t="shared" si="127"/>
        <v>#DIV/0!</v>
      </c>
      <c r="G189" s="250" t="e">
        <f t="shared" si="128"/>
        <v>#DIV/0!</v>
      </c>
      <c r="H189" s="250" t="e">
        <f t="shared" si="129"/>
        <v>#DIV/0!</v>
      </c>
      <c r="I189" s="250" t="e">
        <f t="shared" si="130"/>
        <v>#DIV/0!</v>
      </c>
      <c r="J189" s="250" t="e">
        <f t="shared" si="131"/>
        <v>#DIV/0!</v>
      </c>
      <c r="K189" s="250" t="e">
        <f t="shared" si="132"/>
        <v>#DIV/0!</v>
      </c>
      <c r="L189" s="250" t="e">
        <f t="shared" si="133"/>
        <v>#DIV/0!</v>
      </c>
      <c r="M189" s="250"/>
      <c r="N189" s="251" t="e">
        <f t="shared" si="117"/>
        <v>#DIV/0!</v>
      </c>
      <c r="O189" s="251" t="e">
        <f t="shared" si="118"/>
        <v>#DIV/0!</v>
      </c>
      <c r="P189" s="251" t="e">
        <f t="shared" si="119"/>
        <v>#DIV/0!</v>
      </c>
      <c r="Q189" s="251" t="e">
        <f t="shared" si="120"/>
        <v>#DIV/0!</v>
      </c>
      <c r="R189" s="251" t="e">
        <f t="shared" si="121"/>
        <v>#DIV/0!</v>
      </c>
      <c r="S189" s="251" t="e">
        <f t="shared" si="122"/>
        <v>#DIV/0!</v>
      </c>
      <c r="T189" s="251" t="e">
        <f t="shared" si="123"/>
        <v>#DIV/0!</v>
      </c>
      <c r="EW189" s="247"/>
      <c r="EX189" s="247"/>
    </row>
    <row r="190" spans="1:154" s="153" customFormat="1" ht="18" hidden="1" customHeight="1" x14ac:dyDescent="0.2">
      <c r="A190" s="170">
        <f t="shared" si="124"/>
        <v>0</v>
      </c>
      <c r="B190" s="153">
        <f t="shared" si="125"/>
        <v>0</v>
      </c>
      <c r="C190" s="168"/>
      <c r="D190" s="168"/>
      <c r="E190" s="169" t="e">
        <f t="shared" si="126"/>
        <v>#DIV/0!</v>
      </c>
      <c r="F190" s="167" t="e">
        <f t="shared" si="127"/>
        <v>#DIV/0!</v>
      </c>
      <c r="G190" s="167" t="e">
        <f t="shared" si="128"/>
        <v>#DIV/0!</v>
      </c>
      <c r="H190" s="167" t="e">
        <f t="shared" si="129"/>
        <v>#DIV/0!</v>
      </c>
      <c r="I190" s="167" t="e">
        <f t="shared" si="130"/>
        <v>#DIV/0!</v>
      </c>
      <c r="J190" s="167" t="e">
        <f t="shared" si="131"/>
        <v>#DIV/0!</v>
      </c>
      <c r="K190" s="167" t="e">
        <f t="shared" si="132"/>
        <v>#DIV/0!</v>
      </c>
      <c r="L190" s="167" t="e">
        <f t="shared" si="133"/>
        <v>#DIV/0!</v>
      </c>
      <c r="M190" s="167"/>
      <c r="N190" s="172" t="e">
        <f t="shared" si="117"/>
        <v>#DIV/0!</v>
      </c>
      <c r="O190" s="172" t="e">
        <f t="shared" si="118"/>
        <v>#DIV/0!</v>
      </c>
      <c r="P190" s="172" t="e">
        <f t="shared" si="119"/>
        <v>#DIV/0!</v>
      </c>
      <c r="Q190" s="172" t="e">
        <f t="shared" si="120"/>
        <v>#DIV/0!</v>
      </c>
      <c r="R190" s="172" t="e">
        <f t="shared" si="121"/>
        <v>#DIV/0!</v>
      </c>
      <c r="S190" s="172" t="e">
        <f t="shared" si="122"/>
        <v>#DIV/0!</v>
      </c>
      <c r="T190" s="172" t="e">
        <f t="shared" si="123"/>
        <v>#DIV/0!</v>
      </c>
      <c r="EW190" s="166"/>
      <c r="EX190" s="166"/>
    </row>
    <row r="191" spans="1:154" s="241" customFormat="1" ht="18" customHeight="1" x14ac:dyDescent="0.2">
      <c r="A191" s="248">
        <f t="shared" si="124"/>
        <v>0</v>
      </c>
      <c r="B191" s="241" t="str">
        <f t="shared" si="125"/>
        <v>Übung 25</v>
      </c>
      <c r="C191" s="242"/>
      <c r="D191" s="242"/>
      <c r="E191" s="249" t="e">
        <f t="shared" si="126"/>
        <v>#DIV/0!</v>
      </c>
      <c r="F191" s="250" t="e">
        <f t="shared" si="127"/>
        <v>#DIV/0!</v>
      </c>
      <c r="G191" s="250" t="e">
        <f t="shared" si="128"/>
        <v>#DIV/0!</v>
      </c>
      <c r="H191" s="250" t="e">
        <f t="shared" si="129"/>
        <v>#DIV/0!</v>
      </c>
      <c r="I191" s="250" t="e">
        <f t="shared" si="130"/>
        <v>#DIV/0!</v>
      </c>
      <c r="J191" s="250" t="e">
        <f t="shared" si="131"/>
        <v>#DIV/0!</v>
      </c>
      <c r="K191" s="250" t="e">
        <f t="shared" si="132"/>
        <v>#DIV/0!</v>
      </c>
      <c r="L191" s="250" t="e">
        <f t="shared" si="133"/>
        <v>#DIV/0!</v>
      </c>
      <c r="M191" s="250"/>
      <c r="N191" s="251" t="e">
        <f t="shared" si="117"/>
        <v>#DIV/0!</v>
      </c>
      <c r="O191" s="251" t="e">
        <f t="shared" si="118"/>
        <v>#DIV/0!</v>
      </c>
      <c r="P191" s="251" t="e">
        <f t="shared" si="119"/>
        <v>#DIV/0!</v>
      </c>
      <c r="Q191" s="251" t="e">
        <f t="shared" si="120"/>
        <v>#DIV/0!</v>
      </c>
      <c r="R191" s="251" t="e">
        <f t="shared" si="121"/>
        <v>#DIV/0!</v>
      </c>
      <c r="S191" s="251" t="e">
        <f t="shared" si="122"/>
        <v>#DIV/0!</v>
      </c>
      <c r="T191" s="251" t="e">
        <f t="shared" si="123"/>
        <v>#DIV/0!</v>
      </c>
      <c r="EW191" s="247"/>
      <c r="EX191" s="247"/>
    </row>
    <row r="192" spans="1:154" s="153" customFormat="1" ht="18" hidden="1" customHeight="1" x14ac:dyDescent="0.2">
      <c r="A192" s="170">
        <f t="shared" si="124"/>
        <v>0</v>
      </c>
      <c r="B192" s="153">
        <f t="shared" si="125"/>
        <v>0</v>
      </c>
      <c r="C192" s="168"/>
      <c r="D192" s="168"/>
      <c r="E192" s="169" t="e">
        <f t="shared" si="126"/>
        <v>#DIV/0!</v>
      </c>
      <c r="F192" s="167" t="e">
        <f t="shared" si="127"/>
        <v>#DIV/0!</v>
      </c>
      <c r="G192" s="167" t="e">
        <f t="shared" si="128"/>
        <v>#DIV/0!</v>
      </c>
      <c r="H192" s="167" t="e">
        <f t="shared" si="129"/>
        <v>#DIV/0!</v>
      </c>
      <c r="I192" s="167" t="e">
        <f t="shared" si="130"/>
        <v>#DIV/0!</v>
      </c>
      <c r="J192" s="167" t="e">
        <f t="shared" si="131"/>
        <v>#DIV/0!</v>
      </c>
      <c r="K192" s="167" t="e">
        <f t="shared" si="132"/>
        <v>#DIV/0!</v>
      </c>
      <c r="L192" s="167" t="e">
        <f t="shared" si="133"/>
        <v>#DIV/0!</v>
      </c>
      <c r="M192" s="167"/>
      <c r="N192" s="172" t="e">
        <f t="shared" si="117"/>
        <v>#DIV/0!</v>
      </c>
      <c r="O192" s="172" t="e">
        <f t="shared" si="118"/>
        <v>#DIV/0!</v>
      </c>
      <c r="P192" s="172" t="e">
        <f t="shared" si="119"/>
        <v>#DIV/0!</v>
      </c>
      <c r="Q192" s="172" t="e">
        <f t="shared" si="120"/>
        <v>#DIV/0!</v>
      </c>
      <c r="R192" s="172" t="e">
        <f t="shared" si="121"/>
        <v>#DIV/0!</v>
      </c>
      <c r="S192" s="172" t="e">
        <f t="shared" si="122"/>
        <v>#DIV/0!</v>
      </c>
      <c r="T192" s="172" t="e">
        <f t="shared" si="123"/>
        <v>#DIV/0!</v>
      </c>
      <c r="EW192" s="166"/>
      <c r="EX192" s="166"/>
    </row>
    <row r="193" spans="1:154" s="241" customFormat="1" ht="18" customHeight="1" x14ac:dyDescent="0.2">
      <c r="A193" s="248">
        <f t="shared" si="124"/>
        <v>0</v>
      </c>
      <c r="B193" s="241" t="str">
        <f t="shared" si="125"/>
        <v>Übung 26</v>
      </c>
      <c r="C193" s="242"/>
      <c r="D193" s="242"/>
      <c r="E193" s="249" t="e">
        <f t="shared" si="126"/>
        <v>#DIV/0!</v>
      </c>
      <c r="F193" s="250" t="e">
        <f t="shared" si="127"/>
        <v>#DIV/0!</v>
      </c>
      <c r="G193" s="250" t="e">
        <f t="shared" si="128"/>
        <v>#DIV/0!</v>
      </c>
      <c r="H193" s="250" t="e">
        <f t="shared" si="129"/>
        <v>#DIV/0!</v>
      </c>
      <c r="I193" s="250" t="e">
        <f t="shared" si="130"/>
        <v>#DIV/0!</v>
      </c>
      <c r="J193" s="250" t="e">
        <f t="shared" si="131"/>
        <v>#DIV/0!</v>
      </c>
      <c r="K193" s="250" t="e">
        <f t="shared" si="132"/>
        <v>#DIV/0!</v>
      </c>
      <c r="L193" s="250" t="e">
        <f t="shared" si="133"/>
        <v>#DIV/0!</v>
      </c>
      <c r="M193" s="250"/>
      <c r="N193" s="251" t="e">
        <f t="shared" si="117"/>
        <v>#DIV/0!</v>
      </c>
      <c r="O193" s="251" t="e">
        <f t="shared" si="118"/>
        <v>#DIV/0!</v>
      </c>
      <c r="P193" s="251" t="e">
        <f t="shared" si="119"/>
        <v>#DIV/0!</v>
      </c>
      <c r="Q193" s="251" t="e">
        <f t="shared" si="120"/>
        <v>#DIV/0!</v>
      </c>
      <c r="R193" s="251" t="e">
        <f t="shared" si="121"/>
        <v>#DIV/0!</v>
      </c>
      <c r="S193" s="251" t="e">
        <f t="shared" si="122"/>
        <v>#DIV/0!</v>
      </c>
      <c r="T193" s="251" t="e">
        <f t="shared" si="123"/>
        <v>#DIV/0!</v>
      </c>
      <c r="EW193" s="247"/>
      <c r="EX193" s="247"/>
    </row>
    <row r="194" spans="1:154" s="153" customFormat="1" ht="18" hidden="1" customHeight="1" x14ac:dyDescent="0.2">
      <c r="A194" s="170">
        <f t="shared" si="124"/>
        <v>0</v>
      </c>
      <c r="B194" s="153">
        <f t="shared" si="125"/>
        <v>0</v>
      </c>
      <c r="C194" s="168"/>
      <c r="D194" s="168"/>
      <c r="E194" s="169" t="e">
        <f t="shared" si="126"/>
        <v>#DIV/0!</v>
      </c>
      <c r="F194" s="167" t="e">
        <f t="shared" si="127"/>
        <v>#DIV/0!</v>
      </c>
      <c r="G194" s="167" t="e">
        <f t="shared" si="128"/>
        <v>#DIV/0!</v>
      </c>
      <c r="H194" s="167" t="e">
        <f t="shared" si="129"/>
        <v>#DIV/0!</v>
      </c>
      <c r="I194" s="167" t="e">
        <f t="shared" si="130"/>
        <v>#DIV/0!</v>
      </c>
      <c r="J194" s="167" t="e">
        <f t="shared" si="131"/>
        <v>#DIV/0!</v>
      </c>
      <c r="K194" s="167" t="e">
        <f t="shared" si="132"/>
        <v>#DIV/0!</v>
      </c>
      <c r="L194" s="167" t="e">
        <f t="shared" si="133"/>
        <v>#DIV/0!</v>
      </c>
      <c r="M194" s="167"/>
      <c r="N194" s="172" t="e">
        <f t="shared" si="117"/>
        <v>#DIV/0!</v>
      </c>
      <c r="O194" s="172" t="e">
        <f t="shared" si="118"/>
        <v>#DIV/0!</v>
      </c>
      <c r="P194" s="172" t="e">
        <f t="shared" si="119"/>
        <v>#DIV/0!</v>
      </c>
      <c r="Q194" s="172" t="e">
        <f t="shared" si="120"/>
        <v>#DIV/0!</v>
      </c>
      <c r="R194" s="172" t="e">
        <f t="shared" si="121"/>
        <v>#DIV/0!</v>
      </c>
      <c r="S194" s="172" t="e">
        <f t="shared" si="122"/>
        <v>#DIV/0!</v>
      </c>
      <c r="T194" s="172" t="e">
        <f t="shared" si="123"/>
        <v>#DIV/0!</v>
      </c>
      <c r="EW194" s="166"/>
      <c r="EX194" s="166"/>
    </row>
    <row r="195" spans="1:154" s="241" customFormat="1" ht="18" customHeight="1" x14ac:dyDescent="0.2">
      <c r="A195" s="248">
        <f t="shared" si="124"/>
        <v>0</v>
      </c>
      <c r="B195" s="241" t="str">
        <f t="shared" si="125"/>
        <v>Übung 27</v>
      </c>
      <c r="C195" s="242"/>
      <c r="D195" s="242"/>
      <c r="E195" s="249" t="e">
        <f t="shared" si="126"/>
        <v>#DIV/0!</v>
      </c>
      <c r="F195" s="250" t="e">
        <f t="shared" si="127"/>
        <v>#DIV/0!</v>
      </c>
      <c r="G195" s="250" t="e">
        <f t="shared" si="128"/>
        <v>#DIV/0!</v>
      </c>
      <c r="H195" s="250" t="e">
        <f t="shared" si="129"/>
        <v>#DIV/0!</v>
      </c>
      <c r="I195" s="250" t="e">
        <f t="shared" si="130"/>
        <v>#DIV/0!</v>
      </c>
      <c r="J195" s="250" t="e">
        <f t="shared" si="131"/>
        <v>#DIV/0!</v>
      </c>
      <c r="K195" s="250" t="e">
        <f t="shared" si="132"/>
        <v>#DIV/0!</v>
      </c>
      <c r="L195" s="250" t="e">
        <f t="shared" si="133"/>
        <v>#DIV/0!</v>
      </c>
      <c r="M195" s="250"/>
      <c r="N195" s="251" t="e">
        <f t="shared" si="117"/>
        <v>#DIV/0!</v>
      </c>
      <c r="O195" s="251" t="e">
        <f t="shared" si="118"/>
        <v>#DIV/0!</v>
      </c>
      <c r="P195" s="251" t="e">
        <f t="shared" si="119"/>
        <v>#DIV/0!</v>
      </c>
      <c r="Q195" s="251" t="e">
        <f t="shared" si="120"/>
        <v>#DIV/0!</v>
      </c>
      <c r="R195" s="251" t="e">
        <f t="shared" si="121"/>
        <v>#DIV/0!</v>
      </c>
      <c r="S195" s="251" t="e">
        <f t="shared" si="122"/>
        <v>#DIV/0!</v>
      </c>
      <c r="T195" s="251" t="e">
        <f t="shared" si="123"/>
        <v>#DIV/0!</v>
      </c>
      <c r="EW195" s="247"/>
      <c r="EX195" s="247"/>
    </row>
    <row r="196" spans="1:154" s="153" customFormat="1" ht="18" hidden="1" customHeight="1" x14ac:dyDescent="0.2">
      <c r="A196" s="170">
        <f t="shared" si="124"/>
        <v>0</v>
      </c>
      <c r="B196" s="153">
        <f t="shared" si="125"/>
        <v>0</v>
      </c>
      <c r="C196" s="168"/>
      <c r="D196" s="168"/>
      <c r="E196" s="169" t="e">
        <f t="shared" si="126"/>
        <v>#DIV/0!</v>
      </c>
      <c r="F196" s="167" t="e">
        <f t="shared" si="127"/>
        <v>#DIV/0!</v>
      </c>
      <c r="G196" s="167" t="e">
        <f t="shared" si="128"/>
        <v>#DIV/0!</v>
      </c>
      <c r="H196" s="167" t="e">
        <f t="shared" si="129"/>
        <v>#DIV/0!</v>
      </c>
      <c r="I196" s="167" t="e">
        <f t="shared" si="130"/>
        <v>#DIV/0!</v>
      </c>
      <c r="J196" s="167" t="e">
        <f t="shared" si="131"/>
        <v>#DIV/0!</v>
      </c>
      <c r="K196" s="167" t="e">
        <f t="shared" si="132"/>
        <v>#DIV/0!</v>
      </c>
      <c r="L196" s="167" t="e">
        <f t="shared" si="133"/>
        <v>#DIV/0!</v>
      </c>
      <c r="M196" s="167"/>
      <c r="N196" s="172" t="e">
        <f t="shared" si="117"/>
        <v>#DIV/0!</v>
      </c>
      <c r="O196" s="172" t="e">
        <f t="shared" si="118"/>
        <v>#DIV/0!</v>
      </c>
      <c r="P196" s="172" t="e">
        <f t="shared" si="119"/>
        <v>#DIV/0!</v>
      </c>
      <c r="Q196" s="172" t="e">
        <f t="shared" si="120"/>
        <v>#DIV/0!</v>
      </c>
      <c r="R196" s="172" t="e">
        <f t="shared" si="121"/>
        <v>#DIV/0!</v>
      </c>
      <c r="S196" s="172" t="e">
        <f t="shared" si="122"/>
        <v>#DIV/0!</v>
      </c>
      <c r="T196" s="172" t="e">
        <f t="shared" si="123"/>
        <v>#DIV/0!</v>
      </c>
      <c r="EW196" s="166"/>
      <c r="EX196" s="166"/>
    </row>
    <row r="197" spans="1:154" s="241" customFormat="1" ht="18" customHeight="1" x14ac:dyDescent="0.2">
      <c r="A197" s="248">
        <f t="shared" si="124"/>
        <v>0</v>
      </c>
      <c r="B197" s="241" t="str">
        <f t="shared" si="125"/>
        <v>Übung 28</v>
      </c>
      <c r="C197" s="242"/>
      <c r="D197" s="242"/>
      <c r="E197" s="249" t="e">
        <f t="shared" si="126"/>
        <v>#DIV/0!</v>
      </c>
      <c r="F197" s="250" t="e">
        <f t="shared" si="127"/>
        <v>#DIV/0!</v>
      </c>
      <c r="G197" s="250" t="e">
        <f t="shared" si="128"/>
        <v>#DIV/0!</v>
      </c>
      <c r="H197" s="250" t="e">
        <f t="shared" si="129"/>
        <v>#DIV/0!</v>
      </c>
      <c r="I197" s="250" t="e">
        <f t="shared" si="130"/>
        <v>#DIV/0!</v>
      </c>
      <c r="J197" s="250" t="e">
        <f t="shared" si="131"/>
        <v>#DIV/0!</v>
      </c>
      <c r="K197" s="250" t="e">
        <f t="shared" si="132"/>
        <v>#DIV/0!</v>
      </c>
      <c r="L197" s="250" t="e">
        <f t="shared" si="133"/>
        <v>#DIV/0!</v>
      </c>
      <c r="M197" s="250"/>
      <c r="N197" s="251" t="e">
        <f t="shared" si="117"/>
        <v>#DIV/0!</v>
      </c>
      <c r="O197" s="251" t="e">
        <f t="shared" si="118"/>
        <v>#DIV/0!</v>
      </c>
      <c r="P197" s="251" t="e">
        <f t="shared" si="119"/>
        <v>#DIV/0!</v>
      </c>
      <c r="Q197" s="251" t="e">
        <f t="shared" si="120"/>
        <v>#DIV/0!</v>
      </c>
      <c r="R197" s="251" t="e">
        <f t="shared" si="121"/>
        <v>#DIV/0!</v>
      </c>
      <c r="S197" s="251" t="e">
        <f t="shared" si="122"/>
        <v>#DIV/0!</v>
      </c>
      <c r="T197" s="251" t="e">
        <f t="shared" si="123"/>
        <v>#DIV/0!</v>
      </c>
      <c r="EW197" s="247"/>
      <c r="EX197" s="247"/>
    </row>
    <row r="198" spans="1:154" s="153" customFormat="1" ht="18" hidden="1" customHeight="1" x14ac:dyDescent="0.2">
      <c r="A198" s="170">
        <f t="shared" si="124"/>
        <v>0</v>
      </c>
      <c r="B198" s="153">
        <f t="shared" si="125"/>
        <v>0</v>
      </c>
      <c r="C198" s="168"/>
      <c r="D198" s="168"/>
      <c r="E198" s="169" t="e">
        <f t="shared" si="126"/>
        <v>#DIV/0!</v>
      </c>
      <c r="F198" s="167" t="e">
        <f t="shared" si="127"/>
        <v>#DIV/0!</v>
      </c>
      <c r="G198" s="167" t="e">
        <f t="shared" si="128"/>
        <v>#DIV/0!</v>
      </c>
      <c r="H198" s="167" t="e">
        <f t="shared" si="129"/>
        <v>#DIV/0!</v>
      </c>
      <c r="I198" s="167" t="e">
        <f t="shared" si="130"/>
        <v>#DIV/0!</v>
      </c>
      <c r="J198" s="167" t="e">
        <f t="shared" si="131"/>
        <v>#DIV/0!</v>
      </c>
      <c r="K198" s="167" t="e">
        <f t="shared" si="132"/>
        <v>#DIV/0!</v>
      </c>
      <c r="L198" s="167" t="e">
        <f t="shared" si="133"/>
        <v>#DIV/0!</v>
      </c>
      <c r="M198" s="167"/>
      <c r="N198" s="172" t="e">
        <f t="shared" si="117"/>
        <v>#DIV/0!</v>
      </c>
      <c r="O198" s="172" t="e">
        <f t="shared" si="118"/>
        <v>#DIV/0!</v>
      </c>
      <c r="P198" s="172" t="e">
        <f t="shared" si="119"/>
        <v>#DIV/0!</v>
      </c>
      <c r="Q198" s="172" t="e">
        <f t="shared" si="120"/>
        <v>#DIV/0!</v>
      </c>
      <c r="R198" s="172" t="e">
        <f t="shared" si="121"/>
        <v>#DIV/0!</v>
      </c>
      <c r="S198" s="172" t="e">
        <f t="shared" si="122"/>
        <v>#DIV/0!</v>
      </c>
      <c r="T198" s="172" t="e">
        <f t="shared" si="123"/>
        <v>#DIV/0!</v>
      </c>
      <c r="EW198" s="166"/>
      <c r="EX198" s="166"/>
    </row>
    <row r="199" spans="1:154" s="241" customFormat="1" ht="18" customHeight="1" x14ac:dyDescent="0.2">
      <c r="A199" s="248">
        <f t="shared" si="124"/>
        <v>0</v>
      </c>
      <c r="B199" s="241" t="str">
        <f t="shared" si="125"/>
        <v>Übung 29</v>
      </c>
      <c r="C199" s="242"/>
      <c r="D199" s="242"/>
      <c r="E199" s="249" t="e">
        <f t="shared" si="126"/>
        <v>#DIV/0!</v>
      </c>
      <c r="F199" s="250" t="e">
        <f t="shared" si="127"/>
        <v>#DIV/0!</v>
      </c>
      <c r="G199" s="250" t="e">
        <f t="shared" si="128"/>
        <v>#DIV/0!</v>
      </c>
      <c r="H199" s="250" t="e">
        <f t="shared" si="129"/>
        <v>#DIV/0!</v>
      </c>
      <c r="I199" s="250" t="e">
        <f t="shared" si="130"/>
        <v>#DIV/0!</v>
      </c>
      <c r="J199" s="250" t="e">
        <f t="shared" si="131"/>
        <v>#DIV/0!</v>
      </c>
      <c r="K199" s="250" t="e">
        <f t="shared" si="132"/>
        <v>#DIV/0!</v>
      </c>
      <c r="L199" s="250" t="e">
        <f t="shared" si="133"/>
        <v>#DIV/0!</v>
      </c>
      <c r="M199" s="250"/>
      <c r="N199" s="251" t="e">
        <f t="shared" si="117"/>
        <v>#DIV/0!</v>
      </c>
      <c r="O199" s="251" t="e">
        <f t="shared" si="118"/>
        <v>#DIV/0!</v>
      </c>
      <c r="P199" s="251" t="e">
        <f t="shared" si="119"/>
        <v>#DIV/0!</v>
      </c>
      <c r="Q199" s="251" t="e">
        <f t="shared" si="120"/>
        <v>#DIV/0!</v>
      </c>
      <c r="R199" s="251" t="e">
        <f t="shared" si="121"/>
        <v>#DIV/0!</v>
      </c>
      <c r="S199" s="251" t="e">
        <f t="shared" si="122"/>
        <v>#DIV/0!</v>
      </c>
      <c r="T199" s="251" t="e">
        <f t="shared" si="123"/>
        <v>#DIV/0!</v>
      </c>
      <c r="EW199" s="247"/>
      <c r="EX199" s="247"/>
    </row>
    <row r="200" spans="1:154" s="153" customFormat="1" ht="18" hidden="1" customHeight="1" x14ac:dyDescent="0.2">
      <c r="A200" s="170">
        <f t="shared" si="124"/>
        <v>0</v>
      </c>
      <c r="B200" s="153">
        <f t="shared" si="125"/>
        <v>0</v>
      </c>
      <c r="C200" s="168"/>
      <c r="D200" s="168"/>
      <c r="E200" s="169" t="e">
        <f t="shared" si="126"/>
        <v>#DIV/0!</v>
      </c>
      <c r="F200" s="167" t="e">
        <f t="shared" si="127"/>
        <v>#DIV/0!</v>
      </c>
      <c r="G200" s="167" t="e">
        <f t="shared" si="128"/>
        <v>#DIV/0!</v>
      </c>
      <c r="H200" s="167" t="e">
        <f t="shared" si="129"/>
        <v>#DIV/0!</v>
      </c>
      <c r="I200" s="167" t="e">
        <f t="shared" si="130"/>
        <v>#DIV/0!</v>
      </c>
      <c r="J200" s="167" t="e">
        <f t="shared" si="131"/>
        <v>#DIV/0!</v>
      </c>
      <c r="K200" s="167" t="e">
        <f t="shared" si="132"/>
        <v>#DIV/0!</v>
      </c>
      <c r="L200" s="167" t="e">
        <f t="shared" si="133"/>
        <v>#DIV/0!</v>
      </c>
      <c r="M200" s="167"/>
      <c r="N200" s="172" t="e">
        <f t="shared" si="117"/>
        <v>#DIV/0!</v>
      </c>
      <c r="O200" s="172" t="e">
        <f t="shared" si="118"/>
        <v>#DIV/0!</v>
      </c>
      <c r="P200" s="172" t="e">
        <f t="shared" si="119"/>
        <v>#DIV/0!</v>
      </c>
      <c r="Q200" s="172" t="e">
        <f t="shared" si="120"/>
        <v>#DIV/0!</v>
      </c>
      <c r="R200" s="172" t="e">
        <f t="shared" si="121"/>
        <v>#DIV/0!</v>
      </c>
      <c r="S200" s="172" t="e">
        <f t="shared" si="122"/>
        <v>#DIV/0!</v>
      </c>
      <c r="T200" s="172" t="e">
        <f t="shared" si="123"/>
        <v>#DIV/0!</v>
      </c>
      <c r="EW200" s="166"/>
      <c r="EX200" s="166"/>
    </row>
    <row r="201" spans="1:154" s="241" customFormat="1" ht="18" customHeight="1" x14ac:dyDescent="0.2">
      <c r="A201" s="248">
        <f t="shared" si="124"/>
        <v>0</v>
      </c>
      <c r="B201" s="241" t="str">
        <f t="shared" si="125"/>
        <v>Übung 30</v>
      </c>
      <c r="C201" s="242"/>
      <c r="D201" s="242"/>
      <c r="E201" s="249" t="e">
        <f t="shared" si="126"/>
        <v>#DIV/0!</v>
      </c>
      <c r="F201" s="250" t="e">
        <f t="shared" si="127"/>
        <v>#DIV/0!</v>
      </c>
      <c r="G201" s="250" t="e">
        <f t="shared" si="128"/>
        <v>#DIV/0!</v>
      </c>
      <c r="H201" s="250" t="e">
        <f t="shared" si="129"/>
        <v>#DIV/0!</v>
      </c>
      <c r="I201" s="250" t="e">
        <f t="shared" si="130"/>
        <v>#DIV/0!</v>
      </c>
      <c r="J201" s="250" t="e">
        <f t="shared" si="131"/>
        <v>#DIV/0!</v>
      </c>
      <c r="K201" s="250" t="e">
        <f t="shared" si="132"/>
        <v>#DIV/0!</v>
      </c>
      <c r="L201" s="250" t="e">
        <f t="shared" si="133"/>
        <v>#DIV/0!</v>
      </c>
      <c r="M201" s="250"/>
      <c r="N201" s="251" t="e">
        <f t="shared" si="117"/>
        <v>#DIV/0!</v>
      </c>
      <c r="O201" s="251" t="e">
        <f t="shared" si="118"/>
        <v>#DIV/0!</v>
      </c>
      <c r="P201" s="251" t="e">
        <f t="shared" si="119"/>
        <v>#DIV/0!</v>
      </c>
      <c r="Q201" s="251" t="e">
        <f t="shared" si="120"/>
        <v>#DIV/0!</v>
      </c>
      <c r="R201" s="251" t="e">
        <f t="shared" si="121"/>
        <v>#DIV/0!</v>
      </c>
      <c r="S201" s="251" t="e">
        <f t="shared" si="122"/>
        <v>#DIV/0!</v>
      </c>
      <c r="T201" s="251" t="e">
        <f t="shared" si="123"/>
        <v>#DIV/0!</v>
      </c>
      <c r="EW201" s="247"/>
      <c r="EX201" s="247"/>
    </row>
    <row r="202" spans="1:154" s="234" customFormat="1" ht="18" customHeight="1" x14ac:dyDescent="0.2">
      <c r="B202" s="235"/>
      <c r="C202" s="239"/>
      <c r="D202" s="239"/>
      <c r="E202" s="240"/>
      <c r="F202" s="240"/>
      <c r="G202" s="240"/>
      <c r="H202" s="240"/>
      <c r="I202" s="240"/>
      <c r="J202" s="240"/>
      <c r="K202" s="240"/>
      <c r="L202" s="240"/>
      <c r="M202" s="240"/>
      <c r="N202" s="240"/>
      <c r="EW202" s="237"/>
      <c r="EX202" s="237"/>
    </row>
    <row r="203" spans="1:154" s="234" customFormat="1" ht="18" customHeight="1" x14ac:dyDescent="0.2">
      <c r="B203" s="235"/>
      <c r="C203" s="236"/>
      <c r="D203" s="236"/>
      <c r="EW203" s="237"/>
      <c r="EX203" s="237"/>
    </row>
    <row r="204" spans="1:154" ht="18" hidden="1" customHeight="1" x14ac:dyDescent="0.2">
      <c r="B204" s="2" t="s">
        <v>44</v>
      </c>
    </row>
    <row r="205" spans="1:154" ht="18" hidden="1" customHeight="1" x14ac:dyDescent="0.2">
      <c r="A205" s="1" t="str">
        <f>E1</f>
        <v>Wettkampf 1</v>
      </c>
      <c r="B205" s="173">
        <f>D63</f>
        <v>0</v>
      </c>
    </row>
    <row r="206" spans="1:154" ht="18" hidden="1" customHeight="1" x14ac:dyDescent="0.2">
      <c r="A206" s="143" t="str">
        <f>N1</f>
        <v>Wettkampf 2</v>
      </c>
      <c r="B206" s="174">
        <f>M63</f>
        <v>0</v>
      </c>
      <c r="C206" s="145"/>
      <c r="D206" s="145"/>
      <c r="E206" s="146"/>
      <c r="F206" s="146"/>
      <c r="G206" s="146"/>
      <c r="H206" s="146"/>
      <c r="I206" s="146"/>
      <c r="J206" s="146"/>
      <c r="K206" s="146"/>
      <c r="L206" s="146"/>
    </row>
    <row r="207" spans="1:154" ht="18" hidden="1" customHeight="1" x14ac:dyDescent="0.2">
      <c r="A207" s="143" t="str">
        <f>W1</f>
        <v>Wettkampf 3</v>
      </c>
      <c r="B207" s="174">
        <f>V63</f>
        <v>0</v>
      </c>
      <c r="C207" s="145"/>
      <c r="D207" s="145"/>
      <c r="E207" s="146"/>
      <c r="F207" s="146"/>
      <c r="G207" s="146"/>
      <c r="H207" s="146"/>
      <c r="I207" s="146"/>
      <c r="J207" s="146"/>
      <c r="K207" s="146"/>
      <c r="L207" s="146"/>
    </row>
    <row r="208" spans="1:154" ht="18" hidden="1" customHeight="1" x14ac:dyDescent="0.2">
      <c r="A208" s="143" t="str">
        <f>AF1</f>
        <v>Wettkampf 4</v>
      </c>
      <c r="B208" s="174">
        <f>AE63</f>
        <v>0</v>
      </c>
      <c r="C208" s="145"/>
      <c r="D208" s="145"/>
      <c r="E208" s="146"/>
      <c r="F208" s="146"/>
      <c r="G208" s="146"/>
      <c r="H208" s="146"/>
      <c r="I208" s="146"/>
      <c r="J208" s="146"/>
      <c r="K208" s="146"/>
      <c r="L208" s="146"/>
    </row>
    <row r="209" spans="1:154" ht="18" hidden="1" customHeight="1" x14ac:dyDescent="0.2">
      <c r="A209" s="143" t="str">
        <f>AO1</f>
        <v>Wettkampf 5</v>
      </c>
      <c r="B209" s="174">
        <f>AN63</f>
        <v>0</v>
      </c>
      <c r="C209" s="145"/>
      <c r="D209" s="145"/>
      <c r="E209" s="146"/>
      <c r="F209" s="141"/>
      <c r="G209" s="142"/>
      <c r="H209" s="141"/>
      <c r="I209" s="141"/>
      <c r="J209" s="140"/>
      <c r="K209" s="140"/>
      <c r="L209" s="140"/>
    </row>
    <row r="210" spans="1:154" ht="18" hidden="1" customHeight="1" x14ac:dyDescent="0.2">
      <c r="A210" s="148" t="str">
        <f>AX1</f>
        <v>Wettkampf 6</v>
      </c>
      <c r="B210" s="174">
        <f>AW63</f>
        <v>0</v>
      </c>
      <c r="C210" s="145"/>
      <c r="D210" s="145"/>
      <c r="E210" s="149"/>
      <c r="F210" s="149"/>
      <c r="G210" s="149"/>
      <c r="H210" s="149"/>
      <c r="I210" s="149"/>
      <c r="J210" s="149"/>
      <c r="K210" s="149"/>
      <c r="L210" s="149"/>
    </row>
    <row r="211" spans="1:154" ht="18" hidden="1" customHeight="1" x14ac:dyDescent="0.2">
      <c r="A211" s="148" t="str">
        <f>BG1</f>
        <v>Wettkampf 7</v>
      </c>
      <c r="B211" s="174">
        <f>BF63</f>
        <v>0</v>
      </c>
      <c r="C211" s="145"/>
      <c r="D211" s="145"/>
      <c r="E211" s="149"/>
      <c r="F211" s="149"/>
      <c r="G211" s="149"/>
      <c r="H211" s="149"/>
      <c r="I211" s="149"/>
      <c r="J211" s="149"/>
      <c r="K211" s="149"/>
      <c r="L211" s="149"/>
    </row>
    <row r="212" spans="1:154" ht="18" hidden="1" customHeight="1" x14ac:dyDescent="0.2">
      <c r="A212" s="148" t="str">
        <f>BP1</f>
        <v>Wettkampf 8</v>
      </c>
      <c r="B212" s="174">
        <f>BO63</f>
        <v>0</v>
      </c>
      <c r="C212" s="145"/>
      <c r="D212" s="145"/>
      <c r="E212" s="149"/>
      <c r="F212" s="149"/>
      <c r="G212" s="149"/>
      <c r="H212" s="149"/>
      <c r="I212" s="149"/>
      <c r="J212" s="149"/>
      <c r="K212" s="149"/>
      <c r="L212" s="149"/>
    </row>
    <row r="213" spans="1:154" ht="18" hidden="1" customHeight="1" x14ac:dyDescent="0.2">
      <c r="A213" s="148" t="str">
        <f>BY1</f>
        <v>Wettkampf 9</v>
      </c>
      <c r="B213" s="174">
        <f>BX63</f>
        <v>0</v>
      </c>
      <c r="C213" s="145"/>
      <c r="D213" s="145"/>
      <c r="E213" s="149"/>
      <c r="F213" s="149"/>
      <c r="G213" s="149"/>
      <c r="H213" s="149"/>
      <c r="I213" s="149"/>
      <c r="J213" s="149"/>
      <c r="K213" s="149"/>
      <c r="L213" s="149"/>
    </row>
    <row r="214" spans="1:154" ht="18" hidden="1" customHeight="1" x14ac:dyDescent="0.2">
      <c r="A214" s="148" t="str">
        <f>CH1</f>
        <v>Wettkampf 10</v>
      </c>
      <c r="B214" s="174">
        <f>CG63</f>
        <v>0</v>
      </c>
      <c r="C214" s="145"/>
      <c r="D214" s="145"/>
      <c r="E214" s="149"/>
      <c r="F214" s="149"/>
      <c r="G214" s="149"/>
      <c r="H214" s="149"/>
      <c r="I214" s="149"/>
      <c r="J214" s="149"/>
      <c r="K214" s="149"/>
      <c r="L214" s="149"/>
    </row>
    <row r="215" spans="1:154" ht="18" hidden="1" customHeight="1" x14ac:dyDescent="0.2">
      <c r="A215" s="148" t="str">
        <f>CQ1</f>
        <v>Wettkampf 11</v>
      </c>
      <c r="B215" s="174">
        <f>CP63</f>
        <v>0</v>
      </c>
      <c r="C215" s="145"/>
      <c r="D215" s="145"/>
      <c r="E215" s="149"/>
      <c r="F215" s="149"/>
      <c r="G215" s="149"/>
      <c r="H215" s="149"/>
      <c r="I215" s="149"/>
      <c r="J215" s="149"/>
      <c r="K215" s="149"/>
      <c r="L215" s="149"/>
    </row>
    <row r="216" spans="1:154" ht="18" hidden="1" customHeight="1" x14ac:dyDescent="0.2">
      <c r="A216" s="148" t="str">
        <f>CZ1</f>
        <v>Wettkampf 12</v>
      </c>
      <c r="B216" s="174">
        <f>CY63</f>
        <v>0</v>
      </c>
      <c r="C216" s="145"/>
      <c r="D216" s="145"/>
      <c r="E216" s="149"/>
      <c r="F216" s="149"/>
      <c r="G216" s="149"/>
      <c r="H216" s="149"/>
      <c r="I216" s="149"/>
      <c r="J216" s="149"/>
      <c r="K216" s="149"/>
      <c r="L216" s="149"/>
    </row>
    <row r="217" spans="1:154" ht="18" hidden="1" customHeight="1" x14ac:dyDescent="0.2">
      <c r="A217" s="148" t="str">
        <f>DI1</f>
        <v>Wettkampf 13</v>
      </c>
      <c r="B217" s="174">
        <f>DH63</f>
        <v>0</v>
      </c>
      <c r="C217" s="145"/>
      <c r="D217" s="145"/>
      <c r="E217" s="149"/>
      <c r="F217" s="149"/>
      <c r="G217" s="149"/>
      <c r="H217" s="149"/>
      <c r="I217" s="149"/>
      <c r="J217" s="149"/>
      <c r="K217" s="149"/>
      <c r="L217" s="149"/>
    </row>
    <row r="218" spans="1:154" ht="18" hidden="1" customHeight="1" x14ac:dyDescent="0.2">
      <c r="A218" s="148" t="str">
        <f>DR1</f>
        <v>Wettkampf 14</v>
      </c>
      <c r="B218" s="174">
        <f>DQ63</f>
        <v>0</v>
      </c>
      <c r="C218" s="145"/>
      <c r="D218" s="145"/>
      <c r="E218" s="149"/>
      <c r="F218" s="149"/>
      <c r="G218" s="149"/>
      <c r="H218" s="149"/>
      <c r="I218" s="149"/>
      <c r="J218" s="149"/>
      <c r="K218" s="149"/>
      <c r="L218" s="149"/>
    </row>
    <row r="219" spans="1:154" ht="18" hidden="1" customHeight="1" x14ac:dyDescent="0.2">
      <c r="A219" s="148" t="str">
        <f>EA1</f>
        <v>Wettkampf 15</v>
      </c>
      <c r="B219" s="174">
        <f>DZ63</f>
        <v>0</v>
      </c>
      <c r="C219" s="145"/>
      <c r="D219" s="145"/>
      <c r="E219" s="149"/>
      <c r="F219" s="149"/>
      <c r="G219" s="149"/>
      <c r="H219" s="149"/>
      <c r="I219" s="149"/>
      <c r="J219" s="149"/>
      <c r="K219" s="149"/>
      <c r="L219" s="149"/>
    </row>
    <row r="220" spans="1:154" ht="18" hidden="1" customHeight="1" x14ac:dyDescent="0.2">
      <c r="A220" s="148" t="s">
        <v>9</v>
      </c>
      <c r="B220" s="147" t="e">
        <f>SUM(B205:B219)/(15-B221)</f>
        <v>#DIV/0!</v>
      </c>
      <c r="C220" s="145"/>
      <c r="D220" s="145"/>
      <c r="E220" s="149"/>
      <c r="F220" s="149"/>
      <c r="G220" s="149"/>
      <c r="H220" s="149"/>
      <c r="I220" s="149"/>
      <c r="J220" s="149"/>
      <c r="K220" s="149"/>
      <c r="L220" s="149"/>
    </row>
    <row r="221" spans="1:154" ht="18" hidden="1" customHeight="1" x14ac:dyDescent="0.2">
      <c r="A221" s="148" t="s">
        <v>45</v>
      </c>
      <c r="B221" s="174">
        <f>COUNTBLANK(C63:EG63)</f>
        <v>15</v>
      </c>
      <c r="C221" s="145"/>
      <c r="D221" s="145"/>
      <c r="E221" s="149"/>
      <c r="F221" s="149"/>
      <c r="G221" s="149"/>
      <c r="H221" s="149"/>
      <c r="I221" s="149"/>
      <c r="J221" s="149"/>
      <c r="K221" s="149"/>
      <c r="L221" s="149"/>
    </row>
    <row r="222" spans="1:154" s="234" customFormat="1" ht="18" customHeight="1" x14ac:dyDescent="0.2">
      <c r="A222" s="248"/>
      <c r="B222" s="252"/>
      <c r="C222" s="253"/>
      <c r="D222" s="253"/>
      <c r="E222" s="247"/>
      <c r="F222" s="247"/>
      <c r="G222" s="247"/>
      <c r="H222" s="247"/>
      <c r="I222" s="247"/>
      <c r="J222" s="247"/>
      <c r="K222" s="247"/>
      <c r="L222" s="247"/>
      <c r="EW222" s="237"/>
      <c r="EX222" s="237"/>
    </row>
    <row r="223" spans="1:154" s="234" customFormat="1" ht="18" customHeight="1" x14ac:dyDescent="0.2">
      <c r="A223" s="248"/>
      <c r="B223" s="252"/>
      <c r="C223" s="253"/>
      <c r="D223" s="253"/>
      <c r="E223" s="247"/>
      <c r="F223" s="247"/>
      <c r="G223" s="247"/>
      <c r="H223" s="247"/>
      <c r="I223" s="247"/>
      <c r="J223" s="247"/>
      <c r="K223" s="247"/>
      <c r="L223" s="247"/>
      <c r="EW223" s="237"/>
      <c r="EX223" s="237"/>
    </row>
    <row r="224" spans="1:154" s="234" customFormat="1" ht="18" customHeight="1" x14ac:dyDescent="0.2">
      <c r="A224" s="248"/>
      <c r="B224" s="252"/>
      <c r="C224" s="253"/>
      <c r="D224" s="253"/>
      <c r="E224" s="247"/>
      <c r="F224" s="247"/>
      <c r="G224" s="247"/>
      <c r="H224" s="247"/>
      <c r="I224" s="247"/>
      <c r="J224" s="247"/>
      <c r="K224" s="247"/>
      <c r="L224" s="247"/>
      <c r="EW224" s="237"/>
      <c r="EX224" s="237"/>
    </row>
    <row r="225" spans="1:154" s="234" customFormat="1" ht="18" customHeight="1" x14ac:dyDescent="0.2">
      <c r="A225" s="248"/>
      <c r="B225" s="252"/>
      <c r="C225" s="253"/>
      <c r="D225" s="253"/>
      <c r="E225" s="247"/>
      <c r="F225" s="247"/>
      <c r="G225" s="247"/>
      <c r="H225" s="247"/>
      <c r="I225" s="247"/>
      <c r="J225" s="247"/>
      <c r="K225" s="247"/>
      <c r="L225" s="247"/>
      <c r="EW225" s="237"/>
      <c r="EX225" s="237"/>
    </row>
    <row r="226" spans="1:154" s="234" customFormat="1" ht="18" customHeight="1" x14ac:dyDescent="0.2">
      <c r="A226" s="248"/>
      <c r="B226" s="252"/>
      <c r="C226" s="253"/>
      <c r="D226" s="253"/>
      <c r="E226" s="247"/>
      <c r="F226" s="247"/>
      <c r="G226" s="247"/>
      <c r="H226" s="247"/>
      <c r="I226" s="247"/>
      <c r="J226" s="247"/>
      <c r="K226" s="247"/>
      <c r="L226" s="247"/>
      <c r="EW226" s="237"/>
      <c r="EX226" s="237"/>
    </row>
    <row r="227" spans="1:154" s="234" customFormat="1" ht="18" customHeight="1" x14ac:dyDescent="0.2">
      <c r="A227" s="248"/>
      <c r="B227" s="252"/>
      <c r="C227" s="253"/>
      <c r="D227" s="253"/>
      <c r="E227" s="247"/>
      <c r="F227" s="247"/>
      <c r="G227" s="247"/>
      <c r="H227" s="247"/>
      <c r="I227" s="247"/>
      <c r="J227" s="247"/>
      <c r="K227" s="247"/>
      <c r="L227" s="247"/>
      <c r="EW227" s="237"/>
      <c r="EX227" s="237"/>
    </row>
    <row r="228" spans="1:154" ht="18" customHeight="1" x14ac:dyDescent="0.2">
      <c r="A228" s="148"/>
      <c r="B228" s="144"/>
      <c r="C228" s="145"/>
      <c r="D228" s="145"/>
      <c r="E228" s="149"/>
      <c r="F228" s="149"/>
      <c r="G228" s="149"/>
      <c r="H228" s="149"/>
      <c r="I228" s="149"/>
      <c r="J228" s="149"/>
      <c r="K228" s="149"/>
      <c r="L228" s="149"/>
    </row>
    <row r="229" spans="1:154" ht="18" customHeight="1" x14ac:dyDescent="0.2">
      <c r="A229" s="148"/>
      <c r="B229" s="144"/>
      <c r="C229" s="145"/>
      <c r="D229" s="145"/>
      <c r="E229" s="149"/>
      <c r="F229" s="149"/>
      <c r="G229" s="149"/>
      <c r="H229" s="149"/>
      <c r="I229" s="149"/>
      <c r="J229" s="149"/>
      <c r="K229" s="149"/>
      <c r="L229" s="149"/>
    </row>
    <row r="230" spans="1:154" ht="18" customHeight="1" x14ac:dyDescent="0.2">
      <c r="A230" s="148"/>
      <c r="B230" s="144"/>
      <c r="C230" s="145"/>
      <c r="D230" s="145"/>
      <c r="E230" s="149"/>
      <c r="F230" s="149"/>
      <c r="G230" s="149"/>
      <c r="H230" s="149"/>
      <c r="I230" s="149"/>
      <c r="J230" s="149"/>
      <c r="K230" s="149"/>
      <c r="L230" s="149"/>
    </row>
    <row r="231" spans="1:154" ht="18" customHeight="1" x14ac:dyDescent="0.2">
      <c r="A231" s="148"/>
      <c r="B231" s="144"/>
      <c r="C231" s="145"/>
      <c r="D231" s="145"/>
      <c r="E231" s="149"/>
      <c r="F231" s="149"/>
      <c r="G231" s="149"/>
      <c r="H231" s="149"/>
      <c r="I231" s="149"/>
      <c r="J231" s="149"/>
      <c r="K231" s="149"/>
      <c r="L231" s="149"/>
    </row>
    <row r="232" spans="1:154" ht="18" customHeight="1" x14ac:dyDescent="0.2">
      <c r="A232" s="148"/>
      <c r="B232" s="144"/>
      <c r="C232" s="145"/>
      <c r="D232" s="145"/>
      <c r="E232" s="149"/>
      <c r="F232" s="149"/>
      <c r="G232" s="149"/>
      <c r="H232" s="149"/>
      <c r="I232" s="149"/>
      <c r="J232" s="149"/>
      <c r="K232" s="149"/>
      <c r="L232" s="149"/>
    </row>
    <row r="233" spans="1:154" ht="18" customHeight="1" x14ac:dyDescent="0.2">
      <c r="A233" s="148"/>
      <c r="B233" s="144"/>
      <c r="C233" s="145"/>
      <c r="D233" s="145"/>
      <c r="E233" s="149"/>
      <c r="F233" s="149"/>
      <c r="G233" s="149"/>
      <c r="H233" s="149"/>
      <c r="I233" s="149"/>
      <c r="J233" s="149"/>
      <c r="K233" s="149"/>
      <c r="L233" s="149"/>
    </row>
    <row r="234" spans="1:154" ht="18" customHeight="1" x14ac:dyDescent="0.2">
      <c r="A234" s="148"/>
      <c r="B234" s="144"/>
      <c r="C234" s="145"/>
      <c r="D234" s="145"/>
      <c r="E234" s="149"/>
      <c r="F234" s="149"/>
      <c r="G234" s="149"/>
      <c r="H234" s="149"/>
      <c r="I234" s="149"/>
      <c r="J234" s="149"/>
      <c r="K234" s="149"/>
      <c r="L234" s="149"/>
    </row>
    <row r="235" spans="1:154" ht="18" customHeight="1" x14ac:dyDescent="0.2">
      <c r="A235" s="148"/>
      <c r="B235" s="144"/>
      <c r="C235" s="145"/>
      <c r="D235" s="145"/>
      <c r="E235" s="149"/>
      <c r="F235" s="149"/>
      <c r="G235" s="149"/>
      <c r="H235" s="149"/>
      <c r="I235" s="149"/>
      <c r="J235" s="149"/>
      <c r="K235" s="149"/>
      <c r="L235" s="149"/>
    </row>
    <row r="236" spans="1:154" ht="18" customHeight="1" x14ac:dyDescent="0.2">
      <c r="A236" s="148"/>
      <c r="B236" s="144"/>
      <c r="C236" s="145"/>
      <c r="D236" s="145"/>
      <c r="E236" s="149"/>
      <c r="F236" s="149"/>
      <c r="G236" s="149"/>
      <c r="H236" s="149"/>
      <c r="I236" s="149"/>
      <c r="J236" s="149"/>
      <c r="K236" s="149"/>
      <c r="L236" s="149"/>
    </row>
    <row r="237" spans="1:154" ht="18" customHeight="1" x14ac:dyDescent="0.2">
      <c r="A237" s="148"/>
      <c r="B237" s="144"/>
      <c r="C237" s="145"/>
      <c r="D237" s="145"/>
      <c r="E237" s="149"/>
      <c r="F237" s="149"/>
      <c r="G237" s="149"/>
      <c r="H237" s="149"/>
      <c r="I237" s="149"/>
      <c r="J237" s="149"/>
      <c r="K237" s="149"/>
      <c r="L237" s="149"/>
    </row>
    <row r="238" spans="1:154" ht="18" customHeight="1" x14ac:dyDescent="0.2">
      <c r="A238" s="148"/>
      <c r="B238" s="144"/>
      <c r="C238" s="145"/>
      <c r="D238" s="145"/>
      <c r="E238" s="149"/>
      <c r="F238" s="149"/>
      <c r="G238" s="149"/>
      <c r="H238" s="149"/>
      <c r="I238" s="149"/>
      <c r="J238" s="149"/>
      <c r="K238" s="149"/>
      <c r="L238" s="149"/>
    </row>
    <row r="239" spans="1:154" ht="18" customHeight="1" x14ac:dyDescent="0.2">
      <c r="A239" s="148"/>
      <c r="B239" s="144"/>
      <c r="C239" s="145"/>
      <c r="D239" s="145"/>
      <c r="E239" s="149"/>
      <c r="F239" s="149"/>
      <c r="G239" s="149"/>
      <c r="H239" s="149"/>
      <c r="I239" s="149"/>
      <c r="J239" s="149"/>
      <c r="K239" s="149"/>
      <c r="L239" s="149"/>
    </row>
    <row r="240" spans="1:154" ht="18" customHeight="1" x14ac:dyDescent="0.2">
      <c r="A240" s="148"/>
      <c r="B240" s="144"/>
      <c r="C240" s="145"/>
      <c r="D240" s="145"/>
      <c r="E240" s="149"/>
      <c r="F240" s="149"/>
      <c r="G240" s="149"/>
      <c r="H240" s="149"/>
      <c r="I240" s="149"/>
      <c r="J240" s="149"/>
      <c r="K240" s="149"/>
      <c r="L240" s="149"/>
    </row>
    <row r="241" spans="1:12" ht="18" customHeight="1" x14ac:dyDescent="0.2">
      <c r="A241" s="148"/>
      <c r="B241" s="144"/>
      <c r="C241" s="145"/>
      <c r="D241" s="145"/>
      <c r="E241" s="149"/>
      <c r="F241" s="149"/>
      <c r="G241" s="149"/>
      <c r="H241" s="149"/>
      <c r="I241" s="149"/>
      <c r="J241" s="149"/>
      <c r="K241" s="149"/>
      <c r="L241" s="149"/>
    </row>
    <row r="242" spans="1:12" ht="18" customHeight="1" x14ac:dyDescent="0.2">
      <c r="A242" s="148"/>
      <c r="B242" s="144"/>
      <c r="C242" s="145"/>
      <c r="D242" s="145"/>
      <c r="E242" s="149"/>
      <c r="F242" s="149"/>
      <c r="G242" s="149"/>
      <c r="H242" s="149"/>
      <c r="I242" s="149"/>
      <c r="J242" s="149"/>
      <c r="K242" s="149"/>
      <c r="L242" s="149"/>
    </row>
    <row r="243" spans="1:12" ht="18" customHeight="1" x14ac:dyDescent="0.2">
      <c r="A243" s="148"/>
      <c r="B243" s="144"/>
      <c r="C243" s="145"/>
      <c r="D243" s="145"/>
      <c r="E243" s="149"/>
      <c r="F243" s="149"/>
      <c r="G243" s="149"/>
      <c r="H243" s="149"/>
      <c r="I243" s="149"/>
      <c r="J243" s="149"/>
      <c r="K243" s="149"/>
      <c r="L243" s="149"/>
    </row>
    <row r="244" spans="1:12" ht="18" customHeight="1" x14ac:dyDescent="0.2">
      <c r="A244" s="148"/>
      <c r="B244" s="144"/>
      <c r="C244" s="145"/>
      <c r="D244" s="145"/>
      <c r="E244" s="149"/>
      <c r="F244" s="149"/>
      <c r="G244" s="149"/>
      <c r="H244" s="149"/>
      <c r="I244" s="149"/>
      <c r="J244" s="149"/>
      <c r="K244" s="149"/>
      <c r="L244" s="149"/>
    </row>
    <row r="245" spans="1:12" ht="18" customHeight="1" x14ac:dyDescent="0.2">
      <c r="A245" s="148"/>
      <c r="B245" s="144"/>
      <c r="C245" s="145"/>
      <c r="D245" s="145"/>
      <c r="E245" s="149"/>
      <c r="F245" s="149"/>
      <c r="G245" s="149"/>
      <c r="H245" s="149"/>
      <c r="I245" s="149"/>
      <c r="J245" s="149"/>
      <c r="K245" s="149"/>
      <c r="L245" s="149"/>
    </row>
    <row r="246" spans="1:12" ht="18" customHeight="1" x14ac:dyDescent="0.2">
      <c r="A246" s="148"/>
      <c r="B246" s="144"/>
      <c r="C246" s="145"/>
      <c r="D246" s="145"/>
      <c r="E246" s="149"/>
      <c r="F246" s="149"/>
      <c r="G246" s="149"/>
      <c r="H246" s="149"/>
      <c r="I246" s="149"/>
      <c r="J246" s="149"/>
      <c r="K246" s="149"/>
      <c r="L246" s="149"/>
    </row>
    <row r="247" spans="1:12" ht="18" customHeight="1" x14ac:dyDescent="0.2">
      <c r="A247" s="148"/>
      <c r="B247" s="144"/>
      <c r="C247" s="145"/>
      <c r="D247" s="145"/>
      <c r="E247" s="149"/>
      <c r="F247" s="149"/>
      <c r="G247" s="149"/>
      <c r="H247" s="149"/>
      <c r="I247" s="149"/>
      <c r="J247" s="149"/>
      <c r="K247" s="149"/>
      <c r="L247" s="149"/>
    </row>
    <row r="248" spans="1:12" ht="18" customHeight="1" x14ac:dyDescent="0.2">
      <c r="A248" s="148"/>
      <c r="B248" s="144"/>
      <c r="C248" s="145"/>
      <c r="D248" s="145"/>
      <c r="E248" s="149"/>
      <c r="F248" s="149"/>
      <c r="G248" s="149"/>
      <c r="H248" s="149"/>
      <c r="I248" s="149"/>
      <c r="J248" s="149"/>
      <c r="K248" s="149"/>
      <c r="L248" s="149"/>
    </row>
    <row r="249" spans="1:12" ht="18" customHeight="1" x14ac:dyDescent="0.2">
      <c r="A249" s="148"/>
      <c r="B249" s="144"/>
      <c r="C249" s="145"/>
      <c r="D249" s="145"/>
      <c r="E249" s="149"/>
      <c r="F249" s="149"/>
      <c r="G249" s="149"/>
      <c r="H249" s="149"/>
      <c r="I249" s="149"/>
      <c r="J249" s="149"/>
      <c r="K249" s="149"/>
      <c r="L249" s="149"/>
    </row>
    <row r="250" spans="1:12" ht="18" customHeight="1" x14ac:dyDescent="0.2">
      <c r="A250" s="148"/>
      <c r="B250" s="144"/>
      <c r="C250" s="145"/>
      <c r="D250" s="145"/>
      <c r="E250" s="149"/>
      <c r="F250" s="149"/>
      <c r="G250" s="149"/>
      <c r="H250" s="149"/>
      <c r="I250" s="149"/>
      <c r="J250" s="149"/>
      <c r="K250" s="149"/>
      <c r="L250" s="149"/>
    </row>
    <row r="251" spans="1:12" ht="18" customHeight="1" x14ac:dyDescent="0.2">
      <c r="A251" s="148"/>
      <c r="B251" s="144"/>
      <c r="C251" s="145"/>
      <c r="D251" s="145"/>
      <c r="E251" s="149"/>
      <c r="F251" s="149"/>
      <c r="G251" s="149"/>
      <c r="H251" s="149"/>
      <c r="I251" s="149"/>
      <c r="J251" s="149"/>
      <c r="K251" s="149"/>
      <c r="L251" s="149"/>
    </row>
    <row r="252" spans="1:12" ht="18" customHeight="1" x14ac:dyDescent="0.2">
      <c r="A252" s="148"/>
      <c r="B252" s="144"/>
      <c r="C252" s="145"/>
      <c r="D252" s="145"/>
      <c r="E252" s="149"/>
      <c r="F252" s="149"/>
      <c r="G252" s="149"/>
      <c r="H252" s="149"/>
      <c r="I252" s="149"/>
      <c r="J252" s="149"/>
      <c r="K252" s="149"/>
      <c r="L252" s="149"/>
    </row>
    <row r="253" spans="1:12" ht="18" customHeight="1" x14ac:dyDescent="0.2">
      <c r="A253" s="148"/>
      <c r="B253" s="144"/>
      <c r="C253" s="145"/>
      <c r="D253" s="145"/>
      <c r="E253" s="149"/>
      <c r="F253" s="149"/>
      <c r="G253" s="149"/>
      <c r="H253" s="149"/>
      <c r="I253" s="149"/>
      <c r="J253" s="149"/>
      <c r="K253" s="149"/>
      <c r="L253" s="149"/>
    </row>
    <row r="254" spans="1:12" ht="18" customHeight="1" x14ac:dyDescent="0.2">
      <c r="A254" s="148"/>
      <c r="B254" s="144"/>
      <c r="C254" s="145"/>
      <c r="D254" s="145"/>
      <c r="E254" s="149"/>
      <c r="F254" s="149"/>
      <c r="G254" s="149"/>
      <c r="H254" s="149"/>
      <c r="I254" s="149"/>
      <c r="J254" s="149"/>
      <c r="K254" s="149"/>
      <c r="L254" s="149"/>
    </row>
    <row r="255" spans="1:12" ht="18" customHeight="1" x14ac:dyDescent="0.2">
      <c r="A255" s="148"/>
      <c r="B255" s="144"/>
      <c r="C255" s="145"/>
      <c r="D255" s="145"/>
      <c r="E255" s="149"/>
      <c r="F255" s="149"/>
      <c r="G255" s="149"/>
      <c r="H255" s="149"/>
      <c r="I255" s="149"/>
      <c r="J255" s="149"/>
      <c r="K255" s="149"/>
      <c r="L255" s="149"/>
    </row>
    <row r="256" spans="1:12" ht="18" customHeight="1" x14ac:dyDescent="0.2">
      <c r="A256" s="148"/>
      <c r="B256" s="144"/>
      <c r="C256" s="145"/>
      <c r="D256" s="145"/>
      <c r="E256" s="149"/>
      <c r="F256" s="149"/>
      <c r="G256" s="149"/>
      <c r="H256" s="149"/>
      <c r="I256" s="149"/>
      <c r="J256" s="149"/>
      <c r="K256" s="149"/>
      <c r="L256" s="149"/>
    </row>
    <row r="257" spans="1:12" ht="18" customHeight="1" x14ac:dyDescent="0.2">
      <c r="A257" s="148"/>
      <c r="B257" s="144"/>
      <c r="C257" s="145"/>
      <c r="D257" s="145"/>
      <c r="E257" s="149"/>
      <c r="F257" s="149"/>
      <c r="G257" s="149"/>
      <c r="H257" s="149"/>
      <c r="I257" s="149"/>
      <c r="J257" s="149"/>
      <c r="K257" s="149"/>
      <c r="L257" s="149"/>
    </row>
    <row r="258" spans="1:12" ht="18" customHeight="1" x14ac:dyDescent="0.2">
      <c r="A258" s="148"/>
      <c r="B258" s="144"/>
      <c r="C258" s="145"/>
      <c r="D258" s="145"/>
      <c r="E258" s="149"/>
      <c r="F258" s="149"/>
      <c r="G258" s="149"/>
      <c r="H258" s="149"/>
      <c r="I258" s="149"/>
      <c r="J258" s="149"/>
      <c r="K258" s="149"/>
      <c r="L258" s="149"/>
    </row>
    <row r="259" spans="1:12" ht="18" customHeight="1" x14ac:dyDescent="0.2">
      <c r="A259" s="148"/>
      <c r="B259" s="144"/>
      <c r="C259" s="145"/>
      <c r="D259" s="145"/>
      <c r="E259" s="149"/>
      <c r="F259" s="149"/>
      <c r="G259" s="149"/>
      <c r="H259" s="149"/>
      <c r="I259" s="149"/>
      <c r="J259" s="149"/>
      <c r="K259" s="149"/>
      <c r="L259" s="149"/>
    </row>
    <row r="260" spans="1:12" ht="18" customHeight="1" x14ac:dyDescent="0.2">
      <c r="A260" s="148"/>
      <c r="B260" s="144"/>
      <c r="C260" s="145"/>
      <c r="D260" s="145"/>
      <c r="E260" s="149"/>
      <c r="F260" s="149"/>
      <c r="G260" s="149"/>
      <c r="H260" s="149"/>
      <c r="I260" s="149"/>
      <c r="J260" s="149"/>
      <c r="K260" s="149"/>
      <c r="L260" s="149"/>
    </row>
    <row r="261" spans="1:12" ht="18" customHeight="1" x14ac:dyDescent="0.2">
      <c r="A261" s="148"/>
      <c r="B261" s="144"/>
      <c r="C261" s="145"/>
      <c r="D261" s="145"/>
      <c r="E261" s="149"/>
      <c r="F261" s="149"/>
      <c r="G261" s="149"/>
      <c r="H261" s="149"/>
      <c r="I261" s="149"/>
      <c r="J261" s="149"/>
      <c r="K261" s="149"/>
      <c r="L261" s="149"/>
    </row>
    <row r="262" spans="1:12" ht="18" customHeight="1" x14ac:dyDescent="0.2">
      <c r="A262" s="148"/>
      <c r="B262" s="144"/>
      <c r="C262" s="145"/>
      <c r="D262" s="145"/>
      <c r="E262" s="149"/>
      <c r="F262" s="149"/>
      <c r="G262" s="149"/>
      <c r="H262" s="149"/>
      <c r="I262" s="149"/>
      <c r="J262" s="149"/>
      <c r="K262" s="149"/>
      <c r="L262" s="149"/>
    </row>
    <row r="263" spans="1:12" ht="18" customHeight="1" x14ac:dyDescent="0.2">
      <c r="A263" s="148"/>
      <c r="B263" s="144"/>
      <c r="C263" s="145"/>
      <c r="D263" s="145"/>
      <c r="E263" s="149"/>
      <c r="F263" s="149"/>
      <c r="G263" s="149"/>
      <c r="H263" s="149"/>
      <c r="I263" s="149"/>
      <c r="J263" s="149"/>
      <c r="K263" s="149"/>
      <c r="L263" s="149"/>
    </row>
    <row r="264" spans="1:12" ht="18" customHeight="1" x14ac:dyDescent="0.2">
      <c r="A264" s="148"/>
      <c r="B264" s="144"/>
      <c r="C264" s="145"/>
      <c r="D264" s="145"/>
      <c r="E264" s="149"/>
      <c r="F264" s="149"/>
      <c r="G264" s="149"/>
      <c r="H264" s="149"/>
      <c r="I264" s="149"/>
      <c r="J264" s="149"/>
      <c r="K264" s="149"/>
      <c r="L264" s="149"/>
    </row>
    <row r="265" spans="1:12" ht="18" customHeight="1" x14ac:dyDescent="0.2">
      <c r="A265" s="148"/>
      <c r="B265" s="144"/>
      <c r="C265" s="145"/>
      <c r="D265" s="145"/>
      <c r="E265" s="149"/>
      <c r="F265" s="149"/>
      <c r="G265" s="149"/>
      <c r="H265" s="149"/>
      <c r="I265" s="149"/>
      <c r="J265" s="149"/>
      <c r="K265" s="149"/>
      <c r="L265" s="149"/>
    </row>
    <row r="266" spans="1:12" ht="18" customHeight="1" x14ac:dyDescent="0.2">
      <c r="A266" s="148"/>
      <c r="B266" s="144"/>
      <c r="C266" s="145"/>
      <c r="D266" s="145"/>
      <c r="E266" s="149"/>
      <c r="F266" s="149"/>
      <c r="G266" s="149"/>
      <c r="H266" s="149"/>
      <c r="I266" s="149"/>
      <c r="J266" s="149"/>
      <c r="K266" s="149"/>
      <c r="L266" s="149"/>
    </row>
    <row r="267" spans="1:12" ht="18" customHeight="1" x14ac:dyDescent="0.2">
      <c r="A267" s="148"/>
      <c r="B267" s="144"/>
      <c r="C267" s="145"/>
      <c r="D267" s="145"/>
      <c r="E267" s="149"/>
      <c r="F267" s="149"/>
      <c r="G267" s="149"/>
      <c r="H267" s="149"/>
      <c r="I267" s="149"/>
      <c r="J267" s="149"/>
      <c r="K267" s="149"/>
      <c r="L267" s="149"/>
    </row>
    <row r="268" spans="1:12" ht="18" customHeight="1" x14ac:dyDescent="0.2">
      <c r="A268" s="148"/>
      <c r="B268" s="144"/>
      <c r="C268" s="145"/>
      <c r="D268" s="145"/>
      <c r="E268" s="149"/>
      <c r="F268" s="149"/>
      <c r="G268" s="149"/>
      <c r="H268" s="149"/>
      <c r="I268" s="149"/>
      <c r="J268" s="149"/>
      <c r="K268" s="149"/>
      <c r="L268" s="149"/>
    </row>
  </sheetData>
  <sheetProtection password="E42C" sheet="1" objects="1" scenarios="1" selectLockedCells="1"/>
  <mergeCells count="80">
    <mergeCell ref="BP64:BQ64"/>
    <mergeCell ref="BY64:BZ64"/>
    <mergeCell ref="AO64:AP64"/>
    <mergeCell ref="BL64:BM64"/>
    <mergeCell ref="CQ64:CR64"/>
    <mergeCell ref="CV64:CW64"/>
    <mergeCell ref="CZ64:DA64"/>
    <mergeCell ref="AT64:AU64"/>
    <mergeCell ref="BC64:BD64"/>
    <mergeCell ref="AX64:AY64"/>
    <mergeCell ref="BG64:BH64"/>
    <mergeCell ref="CD64:CE64"/>
    <mergeCell ref="CM64:CN64"/>
    <mergeCell ref="CH64:CI64"/>
    <mergeCell ref="BU64:BV64"/>
    <mergeCell ref="A1:B2"/>
    <mergeCell ref="J64:K64"/>
    <mergeCell ref="AB64:AC64"/>
    <mergeCell ref="AK64:AL64"/>
    <mergeCell ref="S64:T64"/>
    <mergeCell ref="E1:K1"/>
    <mergeCell ref="N1:T1"/>
    <mergeCell ref="N2:T2"/>
    <mergeCell ref="W1:AC1"/>
    <mergeCell ref="W2:AC2"/>
    <mergeCell ref="CO1:CP1"/>
    <mergeCell ref="CH1:CN1"/>
    <mergeCell ref="CX1:CY1"/>
    <mergeCell ref="E2:K2"/>
    <mergeCell ref="AF1:AL1"/>
    <mergeCell ref="AF2:AL2"/>
    <mergeCell ref="AO1:AU1"/>
    <mergeCell ref="AO2:AU2"/>
    <mergeCell ref="AM1:AN1"/>
    <mergeCell ref="BG1:BM1"/>
    <mergeCell ref="BG2:BM2"/>
    <mergeCell ref="DE64:DF64"/>
    <mergeCell ref="DR2:DX2"/>
    <mergeCell ref="DP1:DQ1"/>
    <mergeCell ref="BP2:BV2"/>
    <mergeCell ref="BY1:CE1"/>
    <mergeCell ref="BY2:CE2"/>
    <mergeCell ref="CF1:CG1"/>
    <mergeCell ref="CH2:CN2"/>
    <mergeCell ref="EP1:EV2"/>
    <mergeCell ref="DR1:DX1"/>
    <mergeCell ref="EI1:EO2"/>
    <mergeCell ref="DG1:DH1"/>
    <mergeCell ref="E64:F64"/>
    <mergeCell ref="N64:O64"/>
    <mergeCell ref="W64:X64"/>
    <mergeCell ref="AF64:AG64"/>
    <mergeCell ref="AX1:BD1"/>
    <mergeCell ref="AX2:BD2"/>
    <mergeCell ref="EA2:EG2"/>
    <mergeCell ref="EA64:EB64"/>
    <mergeCell ref="DI1:DO1"/>
    <mergeCell ref="DI2:DO2"/>
    <mergeCell ref="DI64:DJ64"/>
    <mergeCell ref="DN64:DO64"/>
    <mergeCell ref="EF64:EG64"/>
    <mergeCell ref="AV1:AW1"/>
    <mergeCell ref="BE1:BF1"/>
    <mergeCell ref="BN1:BO1"/>
    <mergeCell ref="BW1:BX1"/>
    <mergeCell ref="BP1:BV1"/>
    <mergeCell ref="CZ1:DF1"/>
    <mergeCell ref="CZ2:DF2"/>
    <mergeCell ref="DR64:DS64"/>
    <mergeCell ref="DW64:DX64"/>
    <mergeCell ref="EX1:EX3"/>
    <mergeCell ref="EW1:EW3"/>
    <mergeCell ref="DY1:DZ1"/>
    <mergeCell ref="CQ1:CW1"/>
    <mergeCell ref="CQ2:CW2"/>
    <mergeCell ref="C1:D1"/>
    <mergeCell ref="L1:M1"/>
    <mergeCell ref="U1:V1"/>
    <mergeCell ref="AD1:AE1"/>
    <mergeCell ref="EA1:EG1"/>
  </mergeCells>
  <phoneticPr fontId="7" type="noConversion"/>
  <conditionalFormatting sqref="EW4:EX62">
    <cfRule type="cellIs" dxfId="28" priority="2" stopIfTrue="1" operator="greaterThanOrEqual">
      <formula>$EY$4</formula>
    </cfRule>
  </conditionalFormatting>
  <conditionalFormatting sqref="DG4:DG62 U4:U62 AM4:AM62 AD4:AD62 L4:L62 DP4:DP62 DY4:DY62 C4:C62 AV4:AV62 BN4:BN62 BW4:BW62 CF4:CF62 CO4:CO62 CX4:CX62 BE4:BE62">
    <cfRule type="cellIs" dxfId="27" priority="3" stopIfTrue="1" operator="equal">
      <formula>1</formula>
    </cfRule>
    <cfRule type="cellIs" dxfId="26" priority="4" stopIfTrue="1" operator="equal">
      <formula>0</formula>
    </cfRule>
  </conditionalFormatting>
  <conditionalFormatting sqref="D4:D62 M4:M62 V4:V62 AE4:AE62 AN4:AN62 AW4:AW62 BF4:BF62 BO4:BO62 BX4:BX62 CG4:CG62 CP4:CP62 CY4:CY62 DH4:DH62 DQ4:DQ62 DZ4:DZ62">
    <cfRule type="cellIs" dxfId="25" priority="5" stopIfTrue="1" operator="greaterThan">
      <formula>0</formula>
    </cfRule>
    <cfRule type="cellIs" dxfId="24" priority="6" stopIfTrue="1" operator="equal">
      <formula>0</formula>
    </cfRule>
  </conditionalFormatting>
  <conditionalFormatting sqref="A68:B68">
    <cfRule type="cellIs" dxfId="23" priority="7" stopIfTrue="1" operator="equal">
      <formula>0</formula>
    </cfRule>
  </conditionalFormatting>
  <conditionalFormatting sqref="EA4:EG62 E4:K62 W4:AC62 AF4:AL62 AO4:AU62 AX4:BD62 BG4:BM62 BP4:BV62 BY4:CE62 CH4:CN62 CQ4:CW62 CZ4:DF62 DI4:DO62 DR4:DX62 N4:T62">
    <cfRule type="cellIs" dxfId="22" priority="8" stopIfTrue="1" operator="equal">
      <formula>0</formula>
    </cfRule>
  </conditionalFormatting>
  <conditionalFormatting sqref="E64:F64 N64:O64 W64:X64 AF64:AG64 AO64:AP64 AX64:AY64 BG64:BH64 BP64:BQ64 BY64:BZ64 CH64:CI64 CQ64:CR64 CZ64:DA64 DI64:DJ64 DR64:DS64 EA64:EB64 EP63:EV63">
    <cfRule type="cellIs" dxfId="21" priority="9" stopIfTrue="1" operator="greaterThan">
      <formula>0</formula>
    </cfRule>
  </conditionalFormatting>
  <conditionalFormatting sqref="J64:K64 K73 S64:T64 AB64:AC64 AK64:AL64 AT64:AU64 BC64:BD64 BL64:BM64 BU64:BV64 CD64:CE64 CM64:CN64 CV64:CW64 DE64:DF64 DN64:DO64 DW64:DX64 EF64:EG64 T73 AC73 AL73 AU73 BD73 BM73 BV73 CE73 CN73 CW73 DF73 DO73 DX73 EG73 EN73">
    <cfRule type="cellIs" dxfId="20" priority="10" stopIfTrue="1" operator="notEqual">
      <formula>0</formula>
    </cfRule>
  </conditionalFormatting>
  <conditionalFormatting sqref="E1:K1">
    <cfRule type="cellIs" dxfId="19" priority="11" stopIfTrue="1" operator="equal">
      <formula>"Wettkampf 1"</formula>
    </cfRule>
  </conditionalFormatting>
  <conditionalFormatting sqref="E2:K2 N2:T2 W2:AC2 EA2:EG2 AO2:AU2 AX2:BD2 BG2:BM2 BP2:BV2 BY2:CE2 CH2:CN2 CQ2:CW2 CZ2:DF2 DI2:DO2 DR2:DX2 AF2">
    <cfRule type="cellIs" dxfId="18" priority="12" stopIfTrue="1" operator="equal">
      <formula>"Datum"</formula>
    </cfRule>
  </conditionalFormatting>
  <conditionalFormatting sqref="EA1:EG1">
    <cfRule type="cellIs" dxfId="17" priority="13" stopIfTrue="1" operator="equal">
      <formula>"Wettkampf 15"</formula>
    </cfRule>
  </conditionalFormatting>
  <conditionalFormatting sqref="DR1:DX1">
    <cfRule type="cellIs" dxfId="16" priority="14" stopIfTrue="1" operator="equal">
      <formula>"Wettkampf 14"</formula>
    </cfRule>
  </conditionalFormatting>
  <conditionalFormatting sqref="DI1:DO1">
    <cfRule type="cellIs" dxfId="15" priority="15" stopIfTrue="1" operator="equal">
      <formula>"Wettkampf 13"</formula>
    </cfRule>
  </conditionalFormatting>
  <conditionalFormatting sqref="CZ1:DF1">
    <cfRule type="cellIs" dxfId="14" priority="16" stopIfTrue="1" operator="equal">
      <formula>"Wettkampf 12"</formula>
    </cfRule>
  </conditionalFormatting>
  <conditionalFormatting sqref="CQ1:CW1">
    <cfRule type="cellIs" dxfId="13" priority="17" stopIfTrue="1" operator="equal">
      <formula>"Wettkampf 11"</formula>
    </cfRule>
  </conditionalFormatting>
  <conditionalFormatting sqref="CH1:CN1">
    <cfRule type="cellIs" dxfId="12" priority="18" stopIfTrue="1" operator="equal">
      <formula>"Wettkampf 10"</formula>
    </cfRule>
  </conditionalFormatting>
  <conditionalFormatting sqref="BY1:CE1">
    <cfRule type="cellIs" dxfId="11" priority="19" stopIfTrue="1" operator="equal">
      <formula>"Wettkampf 9"</formula>
    </cfRule>
  </conditionalFormatting>
  <conditionalFormatting sqref="BP1:BV1">
    <cfRule type="cellIs" dxfId="10" priority="20" stopIfTrue="1" operator="equal">
      <formula>"Wettkampf 8"</formula>
    </cfRule>
  </conditionalFormatting>
  <conditionalFormatting sqref="EI4:EV62">
    <cfRule type="cellIs" dxfId="9" priority="21" stopIfTrue="1" operator="greaterThan">
      <formula>0</formula>
    </cfRule>
  </conditionalFormatting>
  <conditionalFormatting sqref="N1:T1">
    <cfRule type="cellIs" dxfId="8" priority="22" stopIfTrue="1" operator="equal">
      <formula>"Wettkampf 2"</formula>
    </cfRule>
  </conditionalFormatting>
  <conditionalFormatting sqref="W1:AC1">
    <cfRule type="cellIs" dxfId="7" priority="23" stopIfTrue="1" operator="equal">
      <formula>"Wettkampf 3"</formula>
    </cfRule>
  </conditionalFormatting>
  <conditionalFormatting sqref="AF1:AL1">
    <cfRule type="cellIs" dxfId="6" priority="24" stopIfTrue="1" operator="equal">
      <formula>"Wettkampf 4"</formula>
    </cfRule>
  </conditionalFormatting>
  <conditionalFormatting sqref="AO1:AU1">
    <cfRule type="cellIs" dxfId="5" priority="25" stopIfTrue="1" operator="equal">
      <formula>"Wettkampf 5"</formula>
    </cfRule>
  </conditionalFormatting>
  <conditionalFormatting sqref="AX1:BD1">
    <cfRule type="cellIs" dxfId="4" priority="26" stopIfTrue="1" operator="equal">
      <formula>"Wettkampf 6"</formula>
    </cfRule>
  </conditionalFormatting>
  <conditionalFormatting sqref="BG1:BM1">
    <cfRule type="cellIs" dxfId="3" priority="27" stopIfTrue="1" operator="equal">
      <formula>"Wettkampf 7"</formula>
    </cfRule>
  </conditionalFormatting>
  <conditionalFormatting sqref="A4:B62">
    <cfRule type="cellIs" dxfId="2" priority="1" stopIfTrue="1" operator="equal">
      <formula>0</formula>
    </cfRule>
  </conditionalFormatting>
  <dataValidations count="1">
    <dataValidation type="list" allowBlank="1" showInputMessage="1" showErrorMessage="1" sqref="L4:L62 U4:U62 AD4:AD62 AM4:AM62 AV4:AV62 BE4:BE62 BN4:BN62 BW4:BW62 CF4:CF62 CO4:CO62 CX4:CX62 DG4:DG62 DP4:DP62 DY4:DY62" xr:uid="{3EF10162-3132-4EFB-B6BD-93C21D9094A3}">
      <formula1>"0,1"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orientation="landscape" r:id="rId1"/>
  <headerFooter alignWithMargins="0">
    <oddHeader>&amp;L&amp;F</oddHeader>
    <oddFooter>&amp;RErstellt von Bundestrainer Dieter Maute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F6889-CC18-4AB9-B2AE-9B1C0F6AAFC0}">
  <sheetPr codeName="Tabelle2"/>
  <dimension ref="A36:I356"/>
  <sheetViews>
    <sheetView showGridLines="0" view="pageBreakPreview" zoomScale="130" zoomScaleNormal="100" zoomScaleSheetLayoutView="140" workbookViewId="0">
      <selection activeCell="N21" sqref="N20:N21"/>
    </sheetView>
  </sheetViews>
  <sheetFormatPr baseColWidth="10" defaultRowHeight="12.75" x14ac:dyDescent="0.2"/>
  <cols>
    <col min="1" max="4" width="11.42578125" style="14"/>
  </cols>
  <sheetData>
    <row r="36" spans="9:9" x14ac:dyDescent="0.2">
      <c r="I36" s="40" t="s">
        <v>46</v>
      </c>
    </row>
    <row r="72" spans="9:9" x14ac:dyDescent="0.2">
      <c r="I72" s="40" t="s">
        <v>46</v>
      </c>
    </row>
    <row r="108" spans="9:9" x14ac:dyDescent="0.2">
      <c r="I108" s="40" t="s">
        <v>46</v>
      </c>
    </row>
    <row r="144" spans="9:9" x14ac:dyDescent="0.2">
      <c r="I144" s="40" t="s">
        <v>46</v>
      </c>
    </row>
    <row r="180" spans="9:9" x14ac:dyDescent="0.2">
      <c r="I180" s="40" t="s">
        <v>46</v>
      </c>
    </row>
    <row r="216" spans="9:9" x14ac:dyDescent="0.2">
      <c r="I216" s="40" t="s">
        <v>46</v>
      </c>
    </row>
    <row r="252" spans="9:9" x14ac:dyDescent="0.2">
      <c r="I252" s="40" t="s">
        <v>46</v>
      </c>
    </row>
    <row r="288" spans="9:9" x14ac:dyDescent="0.2">
      <c r="I288" s="40" t="s">
        <v>46</v>
      </c>
    </row>
    <row r="322" spans="9:9" x14ac:dyDescent="0.2">
      <c r="I322" s="40" t="s">
        <v>46</v>
      </c>
    </row>
    <row r="356" spans="9:9" x14ac:dyDescent="0.2">
      <c r="I356" s="40" t="s">
        <v>46</v>
      </c>
    </row>
  </sheetData>
  <sheetProtection password="E42C" sheet="1" objects="1" scenarios="1" selectLockedCells="1" selectUnlockedCells="1"/>
  <phoneticPr fontId="7" type="noConversion"/>
  <printOptions horizontalCentered="1" verticalCentered="1"/>
  <pageMargins left="0.19685039370078741" right="0.19685039370078741" top="0.98425196850393704" bottom="0.98425196850393704" header="0.51181102362204722" footer="0.51181102362204722"/>
  <pageSetup paperSize="9" orientation="landscape" r:id="rId1"/>
  <headerFooter alignWithMargins="0">
    <oddHeader>&amp;L&amp;"Arial,Fett"&amp;14&amp;F</oddHeader>
  </headerFooter>
  <rowBreaks count="1" manualBreakCount="1">
    <brk id="322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61B7-3074-4C61-8558-E4F2FC6B4F85}">
  <sheetPr codeName="Tabelle3" filterMode="1"/>
  <dimension ref="A5:T72"/>
  <sheetViews>
    <sheetView workbookViewId="0">
      <selection activeCell="M11" sqref="M11"/>
    </sheetView>
  </sheetViews>
  <sheetFormatPr baseColWidth="10" defaultRowHeight="12.75" x14ac:dyDescent="0.2"/>
  <cols>
    <col min="1" max="1" width="2" style="220" bestFit="1" customWidth="1"/>
    <col min="2" max="4" width="11.42578125" style="220"/>
    <col min="5" max="12" width="7" style="220" bestFit="1" customWidth="1"/>
    <col min="13" max="13" width="11.42578125" style="220"/>
    <col min="14" max="14" width="8.42578125" style="220" bestFit="1" customWidth="1"/>
    <col min="15" max="20" width="7" style="220" bestFit="1" customWidth="1"/>
    <col min="21" max="16384" width="11.42578125" style="220"/>
  </cols>
  <sheetData>
    <row r="5" spans="1:20" x14ac:dyDescent="0.2">
      <c r="B5" s="222" t="s">
        <v>36</v>
      </c>
      <c r="C5" s="223" t="s">
        <v>39</v>
      </c>
      <c r="D5" s="223"/>
    </row>
    <row r="6" spans="1:20" x14ac:dyDescent="0.2">
      <c r="A6" s="224"/>
      <c r="B6" s="220">
        <f>Programm!A68</f>
        <v>0</v>
      </c>
      <c r="C6" s="225">
        <f>Programm!B68</f>
        <v>0</v>
      </c>
      <c r="D6" s="223"/>
    </row>
    <row r="7" spans="1:20" x14ac:dyDescent="0.2">
      <c r="B7" s="226"/>
      <c r="C7" s="223"/>
      <c r="D7" s="223"/>
    </row>
    <row r="8" spans="1:20" x14ac:dyDescent="0.2">
      <c r="B8" s="226"/>
      <c r="C8" s="223"/>
      <c r="D8" s="223"/>
    </row>
    <row r="9" spans="1:20" x14ac:dyDescent="0.2">
      <c r="B9" s="226"/>
      <c r="C9" s="223"/>
      <c r="D9" s="223"/>
    </row>
    <row r="10" spans="1:20" x14ac:dyDescent="0.2">
      <c r="B10" s="226"/>
      <c r="C10" s="223"/>
      <c r="D10" s="223"/>
    </row>
    <row r="11" spans="1:20" ht="18" x14ac:dyDescent="0.2">
      <c r="B11" s="226"/>
      <c r="C11" s="223"/>
      <c r="D11" s="223"/>
      <c r="N11" s="227" t="s">
        <v>1</v>
      </c>
      <c r="O11" s="228" t="s">
        <v>2</v>
      </c>
      <c r="P11" s="227" t="s">
        <v>3</v>
      </c>
      <c r="Q11" s="227">
        <v>0</v>
      </c>
      <c r="R11" s="229">
        <v>0.1</v>
      </c>
      <c r="S11" s="229">
        <v>0.5</v>
      </c>
      <c r="T11" s="229">
        <v>1</v>
      </c>
    </row>
    <row r="12" spans="1:20" x14ac:dyDescent="0.2">
      <c r="B12" s="226"/>
      <c r="C12" s="223"/>
      <c r="D12" s="223"/>
      <c r="N12" s="220">
        <f>$B$6</f>
        <v>0</v>
      </c>
      <c r="O12" s="220">
        <f t="shared" ref="O12:T12" si="0">$B$6</f>
        <v>0</v>
      </c>
      <c r="P12" s="220">
        <f t="shared" si="0"/>
        <v>0</v>
      </c>
      <c r="Q12" s="220">
        <f t="shared" si="0"/>
        <v>0</v>
      </c>
      <c r="R12" s="220">
        <f t="shared" si="0"/>
        <v>0</v>
      </c>
      <c r="S12" s="220">
        <f t="shared" si="0"/>
        <v>0</v>
      </c>
      <c r="T12" s="220">
        <f t="shared" si="0"/>
        <v>0</v>
      </c>
    </row>
    <row r="13" spans="1:20" ht="18" x14ac:dyDescent="0.2">
      <c r="B13" s="220" t="s">
        <v>36</v>
      </c>
      <c r="C13" s="223" t="s">
        <v>39</v>
      </c>
      <c r="D13" s="223"/>
      <c r="E13" s="220" t="s">
        <v>37</v>
      </c>
      <c r="F13" s="227" t="s">
        <v>1</v>
      </c>
      <c r="G13" s="228" t="s">
        <v>2</v>
      </c>
      <c r="H13" s="227" t="s">
        <v>3</v>
      </c>
      <c r="I13" s="227">
        <v>0</v>
      </c>
      <c r="J13" s="229">
        <v>0.1</v>
      </c>
      <c r="K13" s="229">
        <v>0.5</v>
      </c>
      <c r="L13" s="229">
        <v>1</v>
      </c>
    </row>
    <row r="14" spans="1:20" s="152" customFormat="1" hidden="1" x14ac:dyDescent="0.2">
      <c r="A14" s="152">
        <f>Programm!A143</f>
        <v>0</v>
      </c>
      <c r="B14" s="159" t="str">
        <f>Programm!A4</f>
        <v>Übung 1</v>
      </c>
      <c r="C14" s="157">
        <f>Programm!B4</f>
        <v>0</v>
      </c>
      <c r="D14" s="155"/>
      <c r="E14" s="160" t="e">
        <f>Programm!EX4</f>
        <v>#DIV/0!</v>
      </c>
      <c r="F14" s="152" t="e">
        <f>Programm!F143</f>
        <v>#DIV/0!</v>
      </c>
      <c r="G14" s="152" t="e">
        <f>Programm!G143</f>
        <v>#DIV/0!</v>
      </c>
      <c r="H14" s="152" t="e">
        <f>Programm!H143</f>
        <v>#DIV/0!</v>
      </c>
      <c r="I14" s="152" t="e">
        <f>Programm!I143</f>
        <v>#DIV/0!</v>
      </c>
      <c r="J14" s="152" t="e">
        <f>Programm!J143</f>
        <v>#DIV/0!</v>
      </c>
      <c r="K14" s="152" t="e">
        <f>Programm!K143</f>
        <v>#DIV/0!</v>
      </c>
      <c r="L14" s="152" t="e">
        <f>Programm!L143</f>
        <v>#DIV/0!</v>
      </c>
      <c r="N14" s="160" t="e">
        <f>Programm!N143</f>
        <v>#DIV/0!</v>
      </c>
      <c r="O14" s="160" t="e">
        <f>Programm!O143</f>
        <v>#DIV/0!</v>
      </c>
      <c r="P14" s="160" t="e">
        <f>Programm!P143</f>
        <v>#DIV/0!</v>
      </c>
      <c r="Q14" s="160" t="e">
        <f>Programm!Q143</f>
        <v>#DIV/0!</v>
      </c>
      <c r="R14" s="160" t="e">
        <f>Programm!R143</f>
        <v>#DIV/0!</v>
      </c>
      <c r="S14" s="160" t="e">
        <f>Programm!S143</f>
        <v>#DIV/0!</v>
      </c>
      <c r="T14" s="160" t="e">
        <f>Programm!T143</f>
        <v>#DIV/0!</v>
      </c>
    </row>
    <row r="15" spans="1:20" s="152" customFormat="1" hidden="1" x14ac:dyDescent="0.2">
      <c r="A15" s="152">
        <f>Programm!A144</f>
        <v>0</v>
      </c>
      <c r="B15" s="159">
        <f>Programm!A5</f>
        <v>0</v>
      </c>
      <c r="C15" s="157">
        <f>Programm!B5</f>
        <v>0</v>
      </c>
      <c r="D15" s="155"/>
      <c r="E15" s="160" t="e">
        <f>Programm!EX5</f>
        <v>#DIV/0!</v>
      </c>
      <c r="F15" s="152" t="e">
        <f>Programm!F144</f>
        <v>#DIV/0!</v>
      </c>
      <c r="G15" s="152" t="e">
        <f>Programm!G144</f>
        <v>#DIV/0!</v>
      </c>
      <c r="H15" s="152" t="e">
        <f>Programm!H144</f>
        <v>#DIV/0!</v>
      </c>
      <c r="I15" s="152" t="e">
        <f>Programm!I144</f>
        <v>#DIV/0!</v>
      </c>
      <c r="J15" s="152" t="e">
        <f>Programm!J144</f>
        <v>#DIV/0!</v>
      </c>
      <c r="K15" s="152" t="e">
        <f>Programm!K144</f>
        <v>#DIV/0!</v>
      </c>
      <c r="L15" s="152" t="e">
        <f>Programm!L144</f>
        <v>#DIV/0!</v>
      </c>
      <c r="N15" s="160" t="e">
        <f>Programm!N144</f>
        <v>#DIV/0!</v>
      </c>
      <c r="O15" s="160" t="e">
        <f>Programm!O144</f>
        <v>#DIV/0!</v>
      </c>
      <c r="P15" s="160" t="e">
        <f>Programm!P144</f>
        <v>#DIV/0!</v>
      </c>
      <c r="Q15" s="160" t="e">
        <f>Programm!Q144</f>
        <v>#DIV/0!</v>
      </c>
      <c r="R15" s="160" t="e">
        <f>Programm!R144</f>
        <v>#DIV/0!</v>
      </c>
      <c r="S15" s="160" t="e">
        <f>Programm!S144</f>
        <v>#DIV/0!</v>
      </c>
      <c r="T15" s="160" t="e">
        <f>Programm!T144</f>
        <v>#DIV/0!</v>
      </c>
    </row>
    <row r="16" spans="1:20" s="152" customFormat="1" hidden="1" x14ac:dyDescent="0.2">
      <c r="A16" s="152">
        <f>Programm!A145</f>
        <v>0</v>
      </c>
      <c r="B16" s="156" t="str">
        <f>Programm!A6</f>
        <v>Übung 2</v>
      </c>
      <c r="C16" s="157">
        <f>Programm!B6</f>
        <v>0</v>
      </c>
      <c r="D16" s="155"/>
      <c r="E16" s="160" t="e">
        <f>Programm!EX6</f>
        <v>#DIV/0!</v>
      </c>
      <c r="F16" s="152" t="e">
        <f>Programm!F145</f>
        <v>#DIV/0!</v>
      </c>
      <c r="G16" s="152" t="e">
        <f>Programm!G145</f>
        <v>#DIV/0!</v>
      </c>
      <c r="H16" s="152" t="e">
        <f>Programm!H145</f>
        <v>#DIV/0!</v>
      </c>
      <c r="I16" s="152" t="e">
        <f>Programm!I145</f>
        <v>#DIV/0!</v>
      </c>
      <c r="J16" s="152" t="e">
        <f>Programm!J145</f>
        <v>#DIV/0!</v>
      </c>
      <c r="K16" s="152" t="e">
        <f>Programm!K145</f>
        <v>#DIV/0!</v>
      </c>
      <c r="L16" s="152" t="e">
        <f>Programm!L145</f>
        <v>#DIV/0!</v>
      </c>
      <c r="N16" s="160" t="e">
        <f>Programm!N145</f>
        <v>#DIV/0!</v>
      </c>
      <c r="O16" s="160" t="e">
        <f>Programm!O145</f>
        <v>#DIV/0!</v>
      </c>
      <c r="P16" s="160" t="e">
        <f>Programm!P145</f>
        <v>#DIV/0!</v>
      </c>
      <c r="Q16" s="160" t="e">
        <f>Programm!Q145</f>
        <v>#DIV/0!</v>
      </c>
      <c r="R16" s="160" t="e">
        <f>Programm!R145</f>
        <v>#DIV/0!</v>
      </c>
      <c r="S16" s="160" t="e">
        <f>Programm!S145</f>
        <v>#DIV/0!</v>
      </c>
      <c r="T16" s="160" t="e">
        <f>Programm!T145</f>
        <v>#DIV/0!</v>
      </c>
    </row>
    <row r="17" spans="1:20" s="152" customFormat="1" hidden="1" x14ac:dyDescent="0.2">
      <c r="A17" s="152">
        <f>Programm!A146</f>
        <v>0</v>
      </c>
      <c r="B17" s="156">
        <f>Programm!A7</f>
        <v>0</v>
      </c>
      <c r="C17" s="157">
        <f>Programm!B7</f>
        <v>0</v>
      </c>
      <c r="D17" s="155"/>
      <c r="E17" s="160" t="e">
        <f>Programm!EX7</f>
        <v>#DIV/0!</v>
      </c>
      <c r="F17" s="152" t="e">
        <f>Programm!F146</f>
        <v>#DIV/0!</v>
      </c>
      <c r="G17" s="152" t="e">
        <f>Programm!G146</f>
        <v>#DIV/0!</v>
      </c>
      <c r="H17" s="152" t="e">
        <f>Programm!H146</f>
        <v>#DIV/0!</v>
      </c>
      <c r="I17" s="152" t="e">
        <f>Programm!I146</f>
        <v>#DIV/0!</v>
      </c>
      <c r="J17" s="152" t="e">
        <f>Programm!J146</f>
        <v>#DIV/0!</v>
      </c>
      <c r="K17" s="152" t="e">
        <f>Programm!K146</f>
        <v>#DIV/0!</v>
      </c>
      <c r="L17" s="152" t="e">
        <f>Programm!L146</f>
        <v>#DIV/0!</v>
      </c>
      <c r="N17" s="160" t="e">
        <f>Programm!N146</f>
        <v>#DIV/0!</v>
      </c>
      <c r="O17" s="160" t="e">
        <f>Programm!O146</f>
        <v>#DIV/0!</v>
      </c>
      <c r="P17" s="160" t="e">
        <f>Programm!P146</f>
        <v>#DIV/0!</v>
      </c>
      <c r="Q17" s="160" t="e">
        <f>Programm!Q146</f>
        <v>#DIV/0!</v>
      </c>
      <c r="R17" s="160" t="e">
        <f>Programm!R146</f>
        <v>#DIV/0!</v>
      </c>
      <c r="S17" s="160" t="e">
        <f>Programm!S146</f>
        <v>#DIV/0!</v>
      </c>
      <c r="T17" s="160" t="e">
        <f>Programm!T146</f>
        <v>#DIV/0!</v>
      </c>
    </row>
    <row r="18" spans="1:20" s="152" customFormat="1" hidden="1" x14ac:dyDescent="0.2">
      <c r="A18" s="152">
        <f>Programm!A147</f>
        <v>0</v>
      </c>
      <c r="B18" s="159" t="str">
        <f>Programm!A8</f>
        <v>Übung 3</v>
      </c>
      <c r="C18" s="157">
        <f>Programm!B8</f>
        <v>0</v>
      </c>
      <c r="D18" s="155"/>
      <c r="E18" s="160" t="e">
        <f>Programm!EX8</f>
        <v>#DIV/0!</v>
      </c>
      <c r="F18" s="152" t="e">
        <f>Programm!F147</f>
        <v>#DIV/0!</v>
      </c>
      <c r="G18" s="152" t="e">
        <f>Programm!G147</f>
        <v>#DIV/0!</v>
      </c>
      <c r="H18" s="152" t="e">
        <f>Programm!H147</f>
        <v>#DIV/0!</v>
      </c>
      <c r="I18" s="152" t="e">
        <f>Programm!I147</f>
        <v>#DIV/0!</v>
      </c>
      <c r="J18" s="152" t="e">
        <f>Programm!J147</f>
        <v>#DIV/0!</v>
      </c>
      <c r="K18" s="152" t="e">
        <f>Programm!K147</f>
        <v>#DIV/0!</v>
      </c>
      <c r="L18" s="152" t="e">
        <f>Programm!L147</f>
        <v>#DIV/0!</v>
      </c>
      <c r="N18" s="160" t="e">
        <f>Programm!N147</f>
        <v>#DIV/0!</v>
      </c>
      <c r="O18" s="160" t="e">
        <f>Programm!O147</f>
        <v>#DIV/0!</v>
      </c>
      <c r="P18" s="160" t="e">
        <f>Programm!P147</f>
        <v>#DIV/0!</v>
      </c>
      <c r="Q18" s="160" t="e">
        <f>Programm!Q147</f>
        <v>#DIV/0!</v>
      </c>
      <c r="R18" s="160" t="e">
        <f>Programm!R147</f>
        <v>#DIV/0!</v>
      </c>
      <c r="S18" s="160" t="e">
        <f>Programm!S147</f>
        <v>#DIV/0!</v>
      </c>
      <c r="T18" s="160" t="e">
        <f>Programm!T147</f>
        <v>#DIV/0!</v>
      </c>
    </row>
    <row r="19" spans="1:20" s="152" customFormat="1" hidden="1" x14ac:dyDescent="0.2">
      <c r="A19" s="152">
        <f>Programm!A148</f>
        <v>0</v>
      </c>
      <c r="B19" s="159">
        <f>Programm!A9</f>
        <v>0</v>
      </c>
      <c r="C19" s="157">
        <f>Programm!B9</f>
        <v>0</v>
      </c>
      <c r="D19" s="155"/>
      <c r="E19" s="160" t="e">
        <f>Programm!EX9</f>
        <v>#DIV/0!</v>
      </c>
      <c r="F19" s="152" t="e">
        <f>Programm!F148</f>
        <v>#DIV/0!</v>
      </c>
      <c r="G19" s="152" t="e">
        <f>Programm!G148</f>
        <v>#DIV/0!</v>
      </c>
      <c r="H19" s="152" t="e">
        <f>Programm!H148</f>
        <v>#DIV/0!</v>
      </c>
      <c r="I19" s="152" t="e">
        <f>Programm!I148</f>
        <v>#DIV/0!</v>
      </c>
      <c r="J19" s="152" t="e">
        <f>Programm!J148</f>
        <v>#DIV/0!</v>
      </c>
      <c r="K19" s="152" t="e">
        <f>Programm!K148</f>
        <v>#DIV/0!</v>
      </c>
      <c r="L19" s="152" t="e">
        <f>Programm!L148</f>
        <v>#DIV/0!</v>
      </c>
      <c r="N19" s="160" t="e">
        <f>Programm!N148</f>
        <v>#DIV/0!</v>
      </c>
      <c r="O19" s="160" t="e">
        <f>Programm!O148</f>
        <v>#DIV/0!</v>
      </c>
      <c r="P19" s="160" t="e">
        <f>Programm!P148</f>
        <v>#DIV/0!</v>
      </c>
      <c r="Q19" s="160" t="e">
        <f>Programm!Q148</f>
        <v>#DIV/0!</v>
      </c>
      <c r="R19" s="160" t="e">
        <f>Programm!R148</f>
        <v>#DIV/0!</v>
      </c>
      <c r="S19" s="160" t="e">
        <f>Programm!S148</f>
        <v>#DIV/0!</v>
      </c>
      <c r="T19" s="160" t="e">
        <f>Programm!T148</f>
        <v>#DIV/0!</v>
      </c>
    </row>
    <row r="20" spans="1:20" s="152" customFormat="1" hidden="1" x14ac:dyDescent="0.2">
      <c r="A20" s="152">
        <f>Programm!A149</f>
        <v>0</v>
      </c>
      <c r="B20" s="159" t="str">
        <f>Programm!A10</f>
        <v>Übung 4</v>
      </c>
      <c r="C20" s="157">
        <f>Programm!B10</f>
        <v>0</v>
      </c>
      <c r="D20" s="155"/>
      <c r="E20" s="160" t="e">
        <f>Programm!EX10</f>
        <v>#DIV/0!</v>
      </c>
      <c r="F20" s="152" t="e">
        <f>Programm!F149</f>
        <v>#DIV/0!</v>
      </c>
      <c r="G20" s="152" t="e">
        <f>Programm!G149</f>
        <v>#DIV/0!</v>
      </c>
      <c r="H20" s="152" t="e">
        <f>Programm!H149</f>
        <v>#DIV/0!</v>
      </c>
      <c r="I20" s="152" t="e">
        <f>Programm!I149</f>
        <v>#DIV/0!</v>
      </c>
      <c r="J20" s="152" t="e">
        <f>Programm!J149</f>
        <v>#DIV/0!</v>
      </c>
      <c r="K20" s="152" t="e">
        <f>Programm!K149</f>
        <v>#DIV/0!</v>
      </c>
      <c r="L20" s="152" t="e">
        <f>Programm!L149</f>
        <v>#DIV/0!</v>
      </c>
      <c r="N20" s="160" t="e">
        <f>Programm!N149</f>
        <v>#DIV/0!</v>
      </c>
      <c r="O20" s="160" t="e">
        <f>Programm!O149</f>
        <v>#DIV/0!</v>
      </c>
      <c r="P20" s="160" t="e">
        <f>Programm!P149</f>
        <v>#DIV/0!</v>
      </c>
      <c r="Q20" s="160" t="e">
        <f>Programm!Q149</f>
        <v>#DIV/0!</v>
      </c>
      <c r="R20" s="160" t="e">
        <f>Programm!R149</f>
        <v>#DIV/0!</v>
      </c>
      <c r="S20" s="160" t="e">
        <f>Programm!S149</f>
        <v>#DIV/0!</v>
      </c>
      <c r="T20" s="160" t="e">
        <f>Programm!T149</f>
        <v>#DIV/0!</v>
      </c>
    </row>
    <row r="21" spans="1:20" s="152" customFormat="1" hidden="1" x14ac:dyDescent="0.2">
      <c r="A21" s="152">
        <f>Programm!A150</f>
        <v>0</v>
      </c>
      <c r="B21" s="159">
        <f>Programm!A11</f>
        <v>0</v>
      </c>
      <c r="C21" s="157">
        <f>Programm!B11</f>
        <v>0</v>
      </c>
      <c r="D21" s="155"/>
      <c r="E21" s="160" t="e">
        <f>Programm!EX11</f>
        <v>#DIV/0!</v>
      </c>
      <c r="F21" s="152" t="e">
        <f>Programm!F150</f>
        <v>#DIV/0!</v>
      </c>
      <c r="G21" s="152" t="e">
        <f>Programm!G150</f>
        <v>#DIV/0!</v>
      </c>
      <c r="H21" s="152" t="e">
        <f>Programm!H150</f>
        <v>#DIV/0!</v>
      </c>
      <c r="I21" s="152" t="e">
        <f>Programm!I150</f>
        <v>#DIV/0!</v>
      </c>
      <c r="J21" s="152" t="e">
        <f>Programm!J150</f>
        <v>#DIV/0!</v>
      </c>
      <c r="K21" s="152" t="e">
        <f>Programm!K150</f>
        <v>#DIV/0!</v>
      </c>
      <c r="L21" s="152" t="e">
        <f>Programm!L150</f>
        <v>#DIV/0!</v>
      </c>
      <c r="N21" s="160" t="e">
        <f>Programm!N150</f>
        <v>#DIV/0!</v>
      </c>
      <c r="O21" s="160" t="e">
        <f>Programm!O150</f>
        <v>#DIV/0!</v>
      </c>
      <c r="P21" s="160" t="e">
        <f>Programm!P150</f>
        <v>#DIV/0!</v>
      </c>
      <c r="Q21" s="160" t="e">
        <f>Programm!Q150</f>
        <v>#DIV/0!</v>
      </c>
      <c r="R21" s="160" t="e">
        <f>Programm!R150</f>
        <v>#DIV/0!</v>
      </c>
      <c r="S21" s="160" t="e">
        <f>Programm!S150</f>
        <v>#DIV/0!</v>
      </c>
      <c r="T21" s="160" t="e">
        <f>Programm!T150</f>
        <v>#DIV/0!</v>
      </c>
    </row>
    <row r="22" spans="1:20" s="152" customFormat="1" hidden="1" x14ac:dyDescent="0.2">
      <c r="A22" s="152">
        <f>Programm!A151</f>
        <v>0</v>
      </c>
      <c r="B22" s="159" t="str">
        <f>Programm!A12</f>
        <v>Übung 5</v>
      </c>
      <c r="C22" s="157">
        <f>Programm!B12</f>
        <v>0</v>
      </c>
      <c r="D22" s="155"/>
      <c r="E22" s="160" t="e">
        <f>Programm!EX12</f>
        <v>#DIV/0!</v>
      </c>
      <c r="F22" s="152" t="e">
        <f>Programm!F151</f>
        <v>#DIV/0!</v>
      </c>
      <c r="G22" s="152" t="e">
        <f>Programm!G151</f>
        <v>#DIV/0!</v>
      </c>
      <c r="H22" s="152" t="e">
        <f>Programm!H151</f>
        <v>#DIV/0!</v>
      </c>
      <c r="I22" s="152" t="e">
        <f>Programm!I151</f>
        <v>#DIV/0!</v>
      </c>
      <c r="J22" s="152" t="e">
        <f>Programm!J151</f>
        <v>#DIV/0!</v>
      </c>
      <c r="K22" s="152" t="e">
        <f>Programm!K151</f>
        <v>#DIV/0!</v>
      </c>
      <c r="L22" s="152" t="e">
        <f>Programm!L151</f>
        <v>#DIV/0!</v>
      </c>
      <c r="N22" s="160" t="e">
        <f>Programm!N151</f>
        <v>#DIV/0!</v>
      </c>
      <c r="O22" s="160" t="e">
        <f>Programm!O151</f>
        <v>#DIV/0!</v>
      </c>
      <c r="P22" s="160" t="e">
        <f>Programm!P151</f>
        <v>#DIV/0!</v>
      </c>
      <c r="Q22" s="160" t="e">
        <f>Programm!Q151</f>
        <v>#DIV/0!</v>
      </c>
      <c r="R22" s="160" t="e">
        <f>Programm!R151</f>
        <v>#DIV/0!</v>
      </c>
      <c r="S22" s="160" t="e">
        <f>Programm!S151</f>
        <v>#DIV/0!</v>
      </c>
      <c r="T22" s="160" t="e">
        <f>Programm!T151</f>
        <v>#DIV/0!</v>
      </c>
    </row>
    <row r="23" spans="1:20" s="152" customFormat="1" hidden="1" x14ac:dyDescent="0.2">
      <c r="A23" s="152">
        <f>Programm!A152</f>
        <v>0</v>
      </c>
      <c r="B23" s="159">
        <f>Programm!A13</f>
        <v>0</v>
      </c>
      <c r="C23" s="157">
        <f>Programm!B13</f>
        <v>0</v>
      </c>
      <c r="D23" s="155"/>
      <c r="E23" s="160" t="e">
        <f>Programm!EX13</f>
        <v>#DIV/0!</v>
      </c>
      <c r="F23" s="152" t="e">
        <f>Programm!F152</f>
        <v>#DIV/0!</v>
      </c>
      <c r="G23" s="152" t="e">
        <f>Programm!G152</f>
        <v>#DIV/0!</v>
      </c>
      <c r="H23" s="152" t="e">
        <f>Programm!H152</f>
        <v>#DIV/0!</v>
      </c>
      <c r="I23" s="152" t="e">
        <f>Programm!I152</f>
        <v>#DIV/0!</v>
      </c>
      <c r="J23" s="152" t="e">
        <f>Programm!J152</f>
        <v>#DIV/0!</v>
      </c>
      <c r="K23" s="152" t="e">
        <f>Programm!K152</f>
        <v>#DIV/0!</v>
      </c>
      <c r="L23" s="152" t="e">
        <f>Programm!L152</f>
        <v>#DIV/0!</v>
      </c>
      <c r="N23" s="160" t="e">
        <f>Programm!N152</f>
        <v>#DIV/0!</v>
      </c>
      <c r="O23" s="160" t="e">
        <f>Programm!O152</f>
        <v>#DIV/0!</v>
      </c>
      <c r="P23" s="160" t="e">
        <f>Programm!P152</f>
        <v>#DIV/0!</v>
      </c>
      <c r="Q23" s="160" t="e">
        <f>Programm!Q152</f>
        <v>#DIV/0!</v>
      </c>
      <c r="R23" s="160" t="e">
        <f>Programm!R152</f>
        <v>#DIV/0!</v>
      </c>
      <c r="S23" s="160" t="e">
        <f>Programm!S152</f>
        <v>#DIV/0!</v>
      </c>
      <c r="T23" s="160" t="e">
        <f>Programm!T152</f>
        <v>#DIV/0!</v>
      </c>
    </row>
    <row r="24" spans="1:20" s="152" customFormat="1" hidden="1" x14ac:dyDescent="0.2">
      <c r="A24" s="152">
        <f>Programm!A153</f>
        <v>0</v>
      </c>
      <c r="B24" s="159" t="str">
        <f>Programm!A14</f>
        <v>Übung 6</v>
      </c>
      <c r="C24" s="157">
        <f>Programm!B14</f>
        <v>0</v>
      </c>
      <c r="D24" s="155"/>
      <c r="E24" s="160" t="e">
        <f>Programm!EX14</f>
        <v>#DIV/0!</v>
      </c>
      <c r="F24" s="152" t="e">
        <f>Programm!F153</f>
        <v>#DIV/0!</v>
      </c>
      <c r="G24" s="152" t="e">
        <f>Programm!G153</f>
        <v>#DIV/0!</v>
      </c>
      <c r="H24" s="152" t="e">
        <f>Programm!H153</f>
        <v>#DIV/0!</v>
      </c>
      <c r="I24" s="152" t="e">
        <f>Programm!I153</f>
        <v>#DIV/0!</v>
      </c>
      <c r="J24" s="152" t="e">
        <f>Programm!J153</f>
        <v>#DIV/0!</v>
      </c>
      <c r="K24" s="152" t="e">
        <f>Programm!K153</f>
        <v>#DIV/0!</v>
      </c>
      <c r="L24" s="152" t="e">
        <f>Programm!L153</f>
        <v>#DIV/0!</v>
      </c>
      <c r="N24" s="160" t="e">
        <f>Programm!N153</f>
        <v>#DIV/0!</v>
      </c>
      <c r="O24" s="160" t="e">
        <f>Programm!O153</f>
        <v>#DIV/0!</v>
      </c>
      <c r="P24" s="160" t="e">
        <f>Programm!P153</f>
        <v>#DIV/0!</v>
      </c>
      <c r="Q24" s="160" t="e">
        <f>Programm!Q153</f>
        <v>#DIV/0!</v>
      </c>
      <c r="R24" s="160" t="e">
        <f>Programm!R153</f>
        <v>#DIV/0!</v>
      </c>
      <c r="S24" s="160" t="e">
        <f>Programm!S153</f>
        <v>#DIV/0!</v>
      </c>
      <c r="T24" s="160" t="e">
        <f>Programm!T153</f>
        <v>#DIV/0!</v>
      </c>
    </row>
    <row r="25" spans="1:20" s="152" customFormat="1" hidden="1" x14ac:dyDescent="0.2">
      <c r="A25" s="152">
        <f>Programm!A154</f>
        <v>0</v>
      </c>
      <c r="B25" s="159">
        <f>Programm!A15</f>
        <v>0</v>
      </c>
      <c r="C25" s="157">
        <f>Programm!B15</f>
        <v>0</v>
      </c>
      <c r="D25" s="155"/>
      <c r="E25" s="160" t="e">
        <f>Programm!EX15</f>
        <v>#DIV/0!</v>
      </c>
      <c r="F25" s="152" t="e">
        <f>Programm!F154</f>
        <v>#DIV/0!</v>
      </c>
      <c r="G25" s="152" t="e">
        <f>Programm!G154</f>
        <v>#DIV/0!</v>
      </c>
      <c r="H25" s="152" t="e">
        <f>Programm!H154</f>
        <v>#DIV/0!</v>
      </c>
      <c r="I25" s="152" t="e">
        <f>Programm!I154</f>
        <v>#DIV/0!</v>
      </c>
      <c r="J25" s="152" t="e">
        <f>Programm!J154</f>
        <v>#DIV/0!</v>
      </c>
      <c r="K25" s="152" t="e">
        <f>Programm!K154</f>
        <v>#DIV/0!</v>
      </c>
      <c r="L25" s="152" t="e">
        <f>Programm!L154</f>
        <v>#DIV/0!</v>
      </c>
      <c r="N25" s="160" t="e">
        <f>Programm!N154</f>
        <v>#DIV/0!</v>
      </c>
      <c r="O25" s="160" t="e">
        <f>Programm!O154</f>
        <v>#DIV/0!</v>
      </c>
      <c r="P25" s="160" t="e">
        <f>Programm!P154</f>
        <v>#DIV/0!</v>
      </c>
      <c r="Q25" s="160" t="e">
        <f>Programm!Q154</f>
        <v>#DIV/0!</v>
      </c>
      <c r="R25" s="160" t="e">
        <f>Programm!R154</f>
        <v>#DIV/0!</v>
      </c>
      <c r="S25" s="160" t="e">
        <f>Programm!S154</f>
        <v>#DIV/0!</v>
      </c>
      <c r="T25" s="160" t="e">
        <f>Programm!T154</f>
        <v>#DIV/0!</v>
      </c>
    </row>
    <row r="26" spans="1:20" s="152" customFormat="1" hidden="1" x14ac:dyDescent="0.2">
      <c r="A26" s="152">
        <f>Programm!A155</f>
        <v>0</v>
      </c>
      <c r="B26" s="159" t="str">
        <f>Programm!A16</f>
        <v>Übung 7</v>
      </c>
      <c r="C26" s="157">
        <f>Programm!B16</f>
        <v>0</v>
      </c>
      <c r="D26" s="155"/>
      <c r="E26" s="160" t="e">
        <f>Programm!EX16</f>
        <v>#DIV/0!</v>
      </c>
      <c r="F26" s="152" t="e">
        <f>Programm!F155</f>
        <v>#DIV/0!</v>
      </c>
      <c r="G26" s="152" t="e">
        <f>Programm!G155</f>
        <v>#DIV/0!</v>
      </c>
      <c r="H26" s="152" t="e">
        <f>Programm!H155</f>
        <v>#DIV/0!</v>
      </c>
      <c r="I26" s="152" t="e">
        <f>Programm!I155</f>
        <v>#DIV/0!</v>
      </c>
      <c r="J26" s="152" t="e">
        <f>Programm!J155</f>
        <v>#DIV/0!</v>
      </c>
      <c r="K26" s="152" t="e">
        <f>Programm!K155</f>
        <v>#DIV/0!</v>
      </c>
      <c r="L26" s="152" t="e">
        <f>Programm!L155</f>
        <v>#DIV/0!</v>
      </c>
      <c r="N26" s="160" t="e">
        <f>Programm!N155</f>
        <v>#DIV/0!</v>
      </c>
      <c r="O26" s="160" t="e">
        <f>Programm!O155</f>
        <v>#DIV/0!</v>
      </c>
      <c r="P26" s="160" t="e">
        <f>Programm!P155</f>
        <v>#DIV/0!</v>
      </c>
      <c r="Q26" s="160" t="e">
        <f>Programm!Q155</f>
        <v>#DIV/0!</v>
      </c>
      <c r="R26" s="160" t="e">
        <f>Programm!R155</f>
        <v>#DIV/0!</v>
      </c>
      <c r="S26" s="160" t="e">
        <f>Programm!S155</f>
        <v>#DIV/0!</v>
      </c>
      <c r="T26" s="160" t="e">
        <f>Programm!T155</f>
        <v>#DIV/0!</v>
      </c>
    </row>
    <row r="27" spans="1:20" s="152" customFormat="1" hidden="1" x14ac:dyDescent="0.2">
      <c r="A27" s="152">
        <f>Programm!A156</f>
        <v>0</v>
      </c>
      <c r="B27" s="159">
        <f>Programm!A17</f>
        <v>0</v>
      </c>
      <c r="C27" s="157">
        <f>Programm!B17</f>
        <v>0</v>
      </c>
      <c r="D27" s="155"/>
      <c r="E27" s="160" t="e">
        <f>Programm!EX17</f>
        <v>#DIV/0!</v>
      </c>
      <c r="F27" s="152" t="e">
        <f>Programm!F156</f>
        <v>#DIV/0!</v>
      </c>
      <c r="G27" s="152" t="e">
        <f>Programm!G156</f>
        <v>#DIV/0!</v>
      </c>
      <c r="H27" s="152" t="e">
        <f>Programm!H156</f>
        <v>#DIV/0!</v>
      </c>
      <c r="I27" s="152" t="e">
        <f>Programm!I156</f>
        <v>#DIV/0!</v>
      </c>
      <c r="J27" s="152" t="e">
        <f>Programm!J156</f>
        <v>#DIV/0!</v>
      </c>
      <c r="K27" s="152" t="e">
        <f>Programm!K156</f>
        <v>#DIV/0!</v>
      </c>
      <c r="L27" s="152" t="e">
        <f>Programm!L156</f>
        <v>#DIV/0!</v>
      </c>
      <c r="N27" s="160" t="e">
        <f>Programm!N156</f>
        <v>#DIV/0!</v>
      </c>
      <c r="O27" s="160" t="e">
        <f>Programm!O156</f>
        <v>#DIV/0!</v>
      </c>
      <c r="P27" s="160" t="e">
        <f>Programm!P156</f>
        <v>#DIV/0!</v>
      </c>
      <c r="Q27" s="160" t="e">
        <f>Programm!Q156</f>
        <v>#DIV/0!</v>
      </c>
      <c r="R27" s="160" t="e">
        <f>Programm!R156</f>
        <v>#DIV/0!</v>
      </c>
      <c r="S27" s="160" t="e">
        <f>Programm!S156</f>
        <v>#DIV/0!</v>
      </c>
      <c r="T27" s="160" t="e">
        <f>Programm!T156</f>
        <v>#DIV/0!</v>
      </c>
    </row>
    <row r="28" spans="1:20" s="152" customFormat="1" hidden="1" x14ac:dyDescent="0.2">
      <c r="A28" s="152">
        <f>Programm!A157</f>
        <v>0</v>
      </c>
      <c r="B28" s="159" t="str">
        <f>Programm!A18</f>
        <v>Übung 8</v>
      </c>
      <c r="C28" s="157">
        <f>Programm!B18</f>
        <v>0</v>
      </c>
      <c r="D28" s="155"/>
      <c r="E28" s="160" t="e">
        <f>Programm!EX18</f>
        <v>#DIV/0!</v>
      </c>
      <c r="F28" s="152" t="e">
        <f>Programm!F157</f>
        <v>#DIV/0!</v>
      </c>
      <c r="G28" s="152" t="e">
        <f>Programm!G157</f>
        <v>#DIV/0!</v>
      </c>
      <c r="H28" s="152" t="e">
        <f>Programm!H157</f>
        <v>#DIV/0!</v>
      </c>
      <c r="I28" s="152" t="e">
        <f>Programm!I157</f>
        <v>#DIV/0!</v>
      </c>
      <c r="J28" s="152" t="e">
        <f>Programm!J157</f>
        <v>#DIV/0!</v>
      </c>
      <c r="K28" s="152" t="e">
        <f>Programm!K157</f>
        <v>#DIV/0!</v>
      </c>
      <c r="L28" s="152" t="e">
        <f>Programm!L157</f>
        <v>#DIV/0!</v>
      </c>
      <c r="N28" s="160" t="e">
        <f>Programm!N157</f>
        <v>#DIV/0!</v>
      </c>
      <c r="O28" s="160" t="e">
        <f>Programm!O157</f>
        <v>#DIV/0!</v>
      </c>
      <c r="P28" s="160" t="e">
        <f>Programm!P157</f>
        <v>#DIV/0!</v>
      </c>
      <c r="Q28" s="160" t="e">
        <f>Programm!Q157</f>
        <v>#DIV/0!</v>
      </c>
      <c r="R28" s="160" t="e">
        <f>Programm!R157</f>
        <v>#DIV/0!</v>
      </c>
      <c r="S28" s="160" t="e">
        <f>Programm!S157</f>
        <v>#DIV/0!</v>
      </c>
      <c r="T28" s="160" t="e">
        <f>Programm!T157</f>
        <v>#DIV/0!</v>
      </c>
    </row>
    <row r="29" spans="1:20" s="152" customFormat="1" hidden="1" x14ac:dyDescent="0.2">
      <c r="A29" s="152">
        <f>Programm!A158</f>
        <v>0</v>
      </c>
      <c r="B29" s="159">
        <f>Programm!A19</f>
        <v>0</v>
      </c>
      <c r="C29" s="157">
        <f>Programm!B19</f>
        <v>0</v>
      </c>
      <c r="D29" s="155"/>
      <c r="E29" s="160" t="e">
        <f>Programm!EX19</f>
        <v>#DIV/0!</v>
      </c>
      <c r="F29" s="152" t="e">
        <f>Programm!F158</f>
        <v>#DIV/0!</v>
      </c>
      <c r="G29" s="152" t="e">
        <f>Programm!G158</f>
        <v>#DIV/0!</v>
      </c>
      <c r="H29" s="152" t="e">
        <f>Programm!H158</f>
        <v>#DIV/0!</v>
      </c>
      <c r="I29" s="152" t="e">
        <f>Programm!I158</f>
        <v>#DIV/0!</v>
      </c>
      <c r="J29" s="152" t="e">
        <f>Programm!J158</f>
        <v>#DIV/0!</v>
      </c>
      <c r="K29" s="152" t="e">
        <f>Programm!K158</f>
        <v>#DIV/0!</v>
      </c>
      <c r="L29" s="152" t="e">
        <f>Programm!L158</f>
        <v>#DIV/0!</v>
      </c>
      <c r="N29" s="160" t="e">
        <f>Programm!N158</f>
        <v>#DIV/0!</v>
      </c>
      <c r="O29" s="160" t="e">
        <f>Programm!O158</f>
        <v>#DIV/0!</v>
      </c>
      <c r="P29" s="160" t="e">
        <f>Programm!P158</f>
        <v>#DIV/0!</v>
      </c>
      <c r="Q29" s="160" t="e">
        <f>Programm!Q158</f>
        <v>#DIV/0!</v>
      </c>
      <c r="R29" s="160" t="e">
        <f>Programm!R158</f>
        <v>#DIV/0!</v>
      </c>
      <c r="S29" s="160" t="e">
        <f>Programm!S158</f>
        <v>#DIV/0!</v>
      </c>
      <c r="T29" s="160" t="e">
        <f>Programm!T158</f>
        <v>#DIV/0!</v>
      </c>
    </row>
    <row r="30" spans="1:20" s="152" customFormat="1" hidden="1" x14ac:dyDescent="0.2">
      <c r="A30" s="152">
        <f>Programm!A159</f>
        <v>0</v>
      </c>
      <c r="B30" s="159" t="str">
        <f>Programm!A20</f>
        <v>Übung 9</v>
      </c>
      <c r="C30" s="157">
        <f>Programm!B20</f>
        <v>0</v>
      </c>
      <c r="D30" s="155"/>
      <c r="E30" s="160" t="e">
        <f>Programm!EX20</f>
        <v>#DIV/0!</v>
      </c>
      <c r="F30" s="152" t="e">
        <f>Programm!F159</f>
        <v>#DIV/0!</v>
      </c>
      <c r="G30" s="152" t="e">
        <f>Programm!G159</f>
        <v>#DIV/0!</v>
      </c>
      <c r="H30" s="152" t="e">
        <f>Programm!H159</f>
        <v>#DIV/0!</v>
      </c>
      <c r="I30" s="152" t="e">
        <f>Programm!I159</f>
        <v>#DIV/0!</v>
      </c>
      <c r="J30" s="152" t="e">
        <f>Programm!J159</f>
        <v>#DIV/0!</v>
      </c>
      <c r="K30" s="152" t="e">
        <f>Programm!K159</f>
        <v>#DIV/0!</v>
      </c>
      <c r="L30" s="152" t="e">
        <f>Programm!L159</f>
        <v>#DIV/0!</v>
      </c>
      <c r="N30" s="160" t="e">
        <f>Programm!N159</f>
        <v>#DIV/0!</v>
      </c>
      <c r="O30" s="160" t="e">
        <f>Programm!O159</f>
        <v>#DIV/0!</v>
      </c>
      <c r="P30" s="160" t="e">
        <f>Programm!P159</f>
        <v>#DIV/0!</v>
      </c>
      <c r="Q30" s="160" t="e">
        <f>Programm!Q159</f>
        <v>#DIV/0!</v>
      </c>
      <c r="R30" s="160" t="e">
        <f>Programm!R159</f>
        <v>#DIV/0!</v>
      </c>
      <c r="S30" s="160" t="e">
        <f>Programm!S159</f>
        <v>#DIV/0!</v>
      </c>
      <c r="T30" s="160" t="e">
        <f>Programm!T159</f>
        <v>#DIV/0!</v>
      </c>
    </row>
    <row r="31" spans="1:20" s="152" customFormat="1" hidden="1" x14ac:dyDescent="0.2">
      <c r="A31" s="152">
        <f>Programm!A160</f>
        <v>0</v>
      </c>
      <c r="B31" s="159">
        <f>Programm!A21</f>
        <v>0</v>
      </c>
      <c r="C31" s="157">
        <f>Programm!B21</f>
        <v>0</v>
      </c>
      <c r="D31" s="155"/>
      <c r="E31" s="160" t="e">
        <f>Programm!EX21</f>
        <v>#DIV/0!</v>
      </c>
      <c r="F31" s="152" t="e">
        <f>Programm!F160</f>
        <v>#DIV/0!</v>
      </c>
      <c r="G31" s="152" t="e">
        <f>Programm!G160</f>
        <v>#DIV/0!</v>
      </c>
      <c r="H31" s="152" t="e">
        <f>Programm!H160</f>
        <v>#DIV/0!</v>
      </c>
      <c r="I31" s="152" t="e">
        <f>Programm!I160</f>
        <v>#DIV/0!</v>
      </c>
      <c r="J31" s="152" t="e">
        <f>Programm!J160</f>
        <v>#DIV/0!</v>
      </c>
      <c r="K31" s="152" t="e">
        <f>Programm!K160</f>
        <v>#DIV/0!</v>
      </c>
      <c r="L31" s="152" t="e">
        <f>Programm!L160</f>
        <v>#DIV/0!</v>
      </c>
      <c r="N31" s="160" t="e">
        <f>Programm!N160</f>
        <v>#DIV/0!</v>
      </c>
      <c r="O31" s="160" t="e">
        <f>Programm!O160</f>
        <v>#DIV/0!</v>
      </c>
      <c r="P31" s="160" t="e">
        <f>Programm!P160</f>
        <v>#DIV/0!</v>
      </c>
      <c r="Q31" s="160" t="e">
        <f>Programm!Q160</f>
        <v>#DIV/0!</v>
      </c>
      <c r="R31" s="160" t="e">
        <f>Programm!R160</f>
        <v>#DIV/0!</v>
      </c>
      <c r="S31" s="160" t="e">
        <f>Programm!S160</f>
        <v>#DIV/0!</v>
      </c>
      <c r="T31" s="160" t="e">
        <f>Programm!T160</f>
        <v>#DIV/0!</v>
      </c>
    </row>
    <row r="32" spans="1:20" s="152" customFormat="1" hidden="1" x14ac:dyDescent="0.2">
      <c r="A32" s="152">
        <f>Programm!A161</f>
        <v>0</v>
      </c>
      <c r="B32" s="159" t="str">
        <f>Programm!A22</f>
        <v>Übung 10</v>
      </c>
      <c r="C32" s="157">
        <f>Programm!B22</f>
        <v>0</v>
      </c>
      <c r="D32" s="155"/>
      <c r="E32" s="160" t="e">
        <f>Programm!EX22</f>
        <v>#DIV/0!</v>
      </c>
      <c r="F32" s="152" t="e">
        <f>Programm!F161</f>
        <v>#DIV/0!</v>
      </c>
      <c r="G32" s="152" t="e">
        <f>Programm!G161</f>
        <v>#DIV/0!</v>
      </c>
      <c r="H32" s="152" t="e">
        <f>Programm!H161</f>
        <v>#DIV/0!</v>
      </c>
      <c r="I32" s="152" t="e">
        <f>Programm!I161</f>
        <v>#DIV/0!</v>
      </c>
      <c r="J32" s="152" t="e">
        <f>Programm!J161</f>
        <v>#DIV/0!</v>
      </c>
      <c r="K32" s="152" t="e">
        <f>Programm!K161</f>
        <v>#DIV/0!</v>
      </c>
      <c r="L32" s="152" t="e">
        <f>Programm!L161</f>
        <v>#DIV/0!</v>
      </c>
      <c r="N32" s="160" t="e">
        <f>Programm!N161</f>
        <v>#DIV/0!</v>
      </c>
      <c r="O32" s="160" t="e">
        <f>Programm!O161</f>
        <v>#DIV/0!</v>
      </c>
      <c r="P32" s="160" t="e">
        <f>Programm!P161</f>
        <v>#DIV/0!</v>
      </c>
      <c r="Q32" s="160" t="e">
        <f>Programm!Q161</f>
        <v>#DIV/0!</v>
      </c>
      <c r="R32" s="160" t="e">
        <f>Programm!R161</f>
        <v>#DIV/0!</v>
      </c>
      <c r="S32" s="160" t="e">
        <f>Programm!S161</f>
        <v>#DIV/0!</v>
      </c>
      <c r="T32" s="160" t="e">
        <f>Programm!T161</f>
        <v>#DIV/0!</v>
      </c>
    </row>
    <row r="33" spans="1:20" s="152" customFormat="1" hidden="1" x14ac:dyDescent="0.2">
      <c r="A33" s="152">
        <f>Programm!A162</f>
        <v>0</v>
      </c>
      <c r="B33" s="159">
        <f>Programm!A23</f>
        <v>0</v>
      </c>
      <c r="C33" s="157">
        <f>Programm!B23</f>
        <v>0</v>
      </c>
      <c r="D33" s="155"/>
      <c r="E33" s="160" t="e">
        <f>Programm!EX23</f>
        <v>#DIV/0!</v>
      </c>
      <c r="F33" s="152" t="e">
        <f>Programm!F162</f>
        <v>#DIV/0!</v>
      </c>
      <c r="G33" s="152" t="e">
        <f>Programm!G162</f>
        <v>#DIV/0!</v>
      </c>
      <c r="H33" s="152" t="e">
        <f>Programm!H162</f>
        <v>#DIV/0!</v>
      </c>
      <c r="I33" s="152" t="e">
        <f>Programm!I162</f>
        <v>#DIV/0!</v>
      </c>
      <c r="J33" s="152" t="e">
        <f>Programm!J162</f>
        <v>#DIV/0!</v>
      </c>
      <c r="K33" s="152" t="e">
        <f>Programm!K162</f>
        <v>#DIV/0!</v>
      </c>
      <c r="L33" s="152" t="e">
        <f>Programm!L162</f>
        <v>#DIV/0!</v>
      </c>
      <c r="N33" s="160" t="e">
        <f>Programm!N162</f>
        <v>#DIV/0!</v>
      </c>
      <c r="O33" s="160" t="e">
        <f>Programm!O162</f>
        <v>#DIV/0!</v>
      </c>
      <c r="P33" s="160" t="e">
        <f>Programm!P162</f>
        <v>#DIV/0!</v>
      </c>
      <c r="Q33" s="160" t="e">
        <f>Programm!Q162</f>
        <v>#DIV/0!</v>
      </c>
      <c r="R33" s="160" t="e">
        <f>Programm!R162</f>
        <v>#DIV/0!</v>
      </c>
      <c r="S33" s="160" t="e">
        <f>Programm!S162</f>
        <v>#DIV/0!</v>
      </c>
      <c r="T33" s="160" t="e">
        <f>Programm!T162</f>
        <v>#DIV/0!</v>
      </c>
    </row>
    <row r="34" spans="1:20" s="152" customFormat="1" hidden="1" x14ac:dyDescent="0.2">
      <c r="A34" s="152">
        <f>Programm!A163</f>
        <v>0</v>
      </c>
      <c r="B34" s="159" t="str">
        <f>Programm!A24</f>
        <v>Übung 11</v>
      </c>
      <c r="C34" s="157">
        <f>Programm!B24</f>
        <v>0</v>
      </c>
      <c r="D34" s="155"/>
      <c r="E34" s="160" t="e">
        <f>Programm!EX24</f>
        <v>#DIV/0!</v>
      </c>
      <c r="F34" s="152" t="e">
        <f>Programm!F163</f>
        <v>#DIV/0!</v>
      </c>
      <c r="G34" s="152" t="e">
        <f>Programm!G163</f>
        <v>#DIV/0!</v>
      </c>
      <c r="H34" s="152" t="e">
        <f>Programm!H163</f>
        <v>#DIV/0!</v>
      </c>
      <c r="I34" s="152" t="e">
        <f>Programm!I163</f>
        <v>#DIV/0!</v>
      </c>
      <c r="J34" s="152" t="e">
        <f>Programm!J163</f>
        <v>#DIV/0!</v>
      </c>
      <c r="K34" s="152" t="e">
        <f>Programm!K163</f>
        <v>#DIV/0!</v>
      </c>
      <c r="L34" s="152" t="e">
        <f>Programm!L163</f>
        <v>#DIV/0!</v>
      </c>
      <c r="N34" s="160" t="e">
        <f>Programm!N163</f>
        <v>#DIV/0!</v>
      </c>
      <c r="O34" s="160" t="e">
        <f>Programm!O163</f>
        <v>#DIV/0!</v>
      </c>
      <c r="P34" s="160" t="e">
        <f>Programm!P163</f>
        <v>#DIV/0!</v>
      </c>
      <c r="Q34" s="160" t="e">
        <f>Programm!Q163</f>
        <v>#DIV/0!</v>
      </c>
      <c r="R34" s="160" t="e">
        <f>Programm!R163</f>
        <v>#DIV/0!</v>
      </c>
      <c r="S34" s="160" t="e">
        <f>Programm!S163</f>
        <v>#DIV/0!</v>
      </c>
      <c r="T34" s="160" t="e">
        <f>Programm!T163</f>
        <v>#DIV/0!</v>
      </c>
    </row>
    <row r="35" spans="1:20" s="152" customFormat="1" hidden="1" x14ac:dyDescent="0.2">
      <c r="A35" s="152">
        <f>Programm!A164</f>
        <v>0</v>
      </c>
      <c r="B35" s="159">
        <f>Programm!A25</f>
        <v>0</v>
      </c>
      <c r="C35" s="157">
        <f>Programm!B25</f>
        <v>0</v>
      </c>
      <c r="D35" s="155"/>
      <c r="E35" s="160" t="e">
        <f>Programm!EX25</f>
        <v>#DIV/0!</v>
      </c>
      <c r="F35" s="152" t="e">
        <f>Programm!F164</f>
        <v>#DIV/0!</v>
      </c>
      <c r="G35" s="152" t="e">
        <f>Programm!G164</f>
        <v>#DIV/0!</v>
      </c>
      <c r="H35" s="152" t="e">
        <f>Programm!H164</f>
        <v>#DIV/0!</v>
      </c>
      <c r="I35" s="152" t="e">
        <f>Programm!I164</f>
        <v>#DIV/0!</v>
      </c>
      <c r="J35" s="152" t="e">
        <f>Programm!J164</f>
        <v>#DIV/0!</v>
      </c>
      <c r="K35" s="152" t="e">
        <f>Programm!K164</f>
        <v>#DIV/0!</v>
      </c>
      <c r="L35" s="152" t="e">
        <f>Programm!L164</f>
        <v>#DIV/0!</v>
      </c>
      <c r="N35" s="160" t="e">
        <f>Programm!N164</f>
        <v>#DIV/0!</v>
      </c>
      <c r="O35" s="160" t="e">
        <f>Programm!O164</f>
        <v>#DIV/0!</v>
      </c>
      <c r="P35" s="160" t="e">
        <f>Programm!P164</f>
        <v>#DIV/0!</v>
      </c>
      <c r="Q35" s="160" t="e">
        <f>Programm!Q164</f>
        <v>#DIV/0!</v>
      </c>
      <c r="R35" s="160" t="e">
        <f>Programm!R164</f>
        <v>#DIV/0!</v>
      </c>
      <c r="S35" s="160" t="e">
        <f>Programm!S164</f>
        <v>#DIV/0!</v>
      </c>
      <c r="T35" s="160" t="e">
        <f>Programm!T164</f>
        <v>#DIV/0!</v>
      </c>
    </row>
    <row r="36" spans="1:20" s="152" customFormat="1" hidden="1" x14ac:dyDescent="0.2">
      <c r="A36" s="152">
        <f>Programm!A165</f>
        <v>0</v>
      </c>
      <c r="B36" s="159" t="str">
        <f>Programm!A26</f>
        <v>Übung 12</v>
      </c>
      <c r="C36" s="157">
        <f>Programm!B26</f>
        <v>0</v>
      </c>
      <c r="D36" s="155"/>
      <c r="E36" s="160" t="e">
        <f>Programm!EX26</f>
        <v>#DIV/0!</v>
      </c>
      <c r="F36" s="152" t="e">
        <f>Programm!F165</f>
        <v>#DIV/0!</v>
      </c>
      <c r="G36" s="152" t="e">
        <f>Programm!G165</f>
        <v>#DIV/0!</v>
      </c>
      <c r="H36" s="152" t="e">
        <f>Programm!H165</f>
        <v>#DIV/0!</v>
      </c>
      <c r="I36" s="152" t="e">
        <f>Programm!I165</f>
        <v>#DIV/0!</v>
      </c>
      <c r="J36" s="152" t="e">
        <f>Programm!J165</f>
        <v>#DIV/0!</v>
      </c>
      <c r="K36" s="152" t="e">
        <f>Programm!K165</f>
        <v>#DIV/0!</v>
      </c>
      <c r="L36" s="152" t="e">
        <f>Programm!L165</f>
        <v>#DIV/0!</v>
      </c>
      <c r="N36" s="160" t="e">
        <f>Programm!N165</f>
        <v>#DIV/0!</v>
      </c>
      <c r="O36" s="160" t="e">
        <f>Programm!O165</f>
        <v>#DIV/0!</v>
      </c>
      <c r="P36" s="160" t="e">
        <f>Programm!P165</f>
        <v>#DIV/0!</v>
      </c>
      <c r="Q36" s="160" t="e">
        <f>Programm!Q165</f>
        <v>#DIV/0!</v>
      </c>
      <c r="R36" s="160" t="e">
        <f>Programm!R165</f>
        <v>#DIV/0!</v>
      </c>
      <c r="S36" s="160" t="e">
        <f>Programm!S165</f>
        <v>#DIV/0!</v>
      </c>
      <c r="T36" s="160" t="e">
        <f>Programm!T165</f>
        <v>#DIV/0!</v>
      </c>
    </row>
    <row r="37" spans="1:20" s="152" customFormat="1" hidden="1" x14ac:dyDescent="0.2">
      <c r="A37" s="152">
        <f>Programm!A166</f>
        <v>0</v>
      </c>
      <c r="B37" s="159">
        <f>Programm!A27</f>
        <v>0</v>
      </c>
      <c r="C37" s="157">
        <f>Programm!B27</f>
        <v>0</v>
      </c>
      <c r="D37" s="155"/>
      <c r="E37" s="160" t="e">
        <f>Programm!EX27</f>
        <v>#DIV/0!</v>
      </c>
      <c r="F37" s="152" t="e">
        <f>Programm!F166</f>
        <v>#DIV/0!</v>
      </c>
      <c r="G37" s="152" t="e">
        <f>Programm!G166</f>
        <v>#DIV/0!</v>
      </c>
      <c r="H37" s="152" t="e">
        <f>Programm!H166</f>
        <v>#DIV/0!</v>
      </c>
      <c r="I37" s="152" t="e">
        <f>Programm!I166</f>
        <v>#DIV/0!</v>
      </c>
      <c r="J37" s="152" t="e">
        <f>Programm!J166</f>
        <v>#DIV/0!</v>
      </c>
      <c r="K37" s="152" t="e">
        <f>Programm!K166</f>
        <v>#DIV/0!</v>
      </c>
      <c r="L37" s="152" t="e">
        <f>Programm!L166</f>
        <v>#DIV/0!</v>
      </c>
      <c r="N37" s="160" t="e">
        <f>Programm!N166</f>
        <v>#DIV/0!</v>
      </c>
      <c r="O37" s="160" t="e">
        <f>Programm!O166</f>
        <v>#DIV/0!</v>
      </c>
      <c r="P37" s="160" t="e">
        <f>Programm!P166</f>
        <v>#DIV/0!</v>
      </c>
      <c r="Q37" s="160" t="e">
        <f>Programm!Q166</f>
        <v>#DIV/0!</v>
      </c>
      <c r="R37" s="160" t="e">
        <f>Programm!R166</f>
        <v>#DIV/0!</v>
      </c>
      <c r="S37" s="160" t="e">
        <f>Programm!S166</f>
        <v>#DIV/0!</v>
      </c>
      <c r="T37" s="160" t="e">
        <f>Programm!T166</f>
        <v>#DIV/0!</v>
      </c>
    </row>
    <row r="38" spans="1:20" s="152" customFormat="1" hidden="1" x14ac:dyDescent="0.2">
      <c r="A38" s="152">
        <f>Programm!A167</f>
        <v>0</v>
      </c>
      <c r="B38" s="159" t="str">
        <f>Programm!A28</f>
        <v>Übung 13</v>
      </c>
      <c r="C38" s="157">
        <f>Programm!B28</f>
        <v>0</v>
      </c>
      <c r="D38" s="155"/>
      <c r="E38" s="160" t="e">
        <f>Programm!EX28</f>
        <v>#DIV/0!</v>
      </c>
      <c r="F38" s="152" t="e">
        <f>Programm!F167</f>
        <v>#DIV/0!</v>
      </c>
      <c r="G38" s="152" t="e">
        <f>Programm!G167</f>
        <v>#DIV/0!</v>
      </c>
      <c r="H38" s="152" t="e">
        <f>Programm!H167</f>
        <v>#DIV/0!</v>
      </c>
      <c r="I38" s="152" t="e">
        <f>Programm!I167</f>
        <v>#DIV/0!</v>
      </c>
      <c r="J38" s="152" t="e">
        <f>Programm!J167</f>
        <v>#DIV/0!</v>
      </c>
      <c r="K38" s="152" t="e">
        <f>Programm!K167</f>
        <v>#DIV/0!</v>
      </c>
      <c r="L38" s="152" t="e">
        <f>Programm!L167</f>
        <v>#DIV/0!</v>
      </c>
      <c r="N38" s="160" t="e">
        <f>Programm!N167</f>
        <v>#DIV/0!</v>
      </c>
      <c r="O38" s="160" t="e">
        <f>Programm!O167</f>
        <v>#DIV/0!</v>
      </c>
      <c r="P38" s="160" t="e">
        <f>Programm!P167</f>
        <v>#DIV/0!</v>
      </c>
      <c r="Q38" s="160" t="e">
        <f>Programm!Q167</f>
        <v>#DIV/0!</v>
      </c>
      <c r="R38" s="160" t="e">
        <f>Programm!R167</f>
        <v>#DIV/0!</v>
      </c>
      <c r="S38" s="160" t="e">
        <f>Programm!S167</f>
        <v>#DIV/0!</v>
      </c>
      <c r="T38" s="160" t="e">
        <f>Programm!T167</f>
        <v>#DIV/0!</v>
      </c>
    </row>
    <row r="39" spans="1:20" s="152" customFormat="1" hidden="1" x14ac:dyDescent="0.2">
      <c r="A39" s="152">
        <f>Programm!A168</f>
        <v>0</v>
      </c>
      <c r="B39" s="159">
        <f>Programm!A29</f>
        <v>0</v>
      </c>
      <c r="C39" s="157">
        <f>Programm!B29</f>
        <v>0</v>
      </c>
      <c r="D39" s="155"/>
      <c r="E39" s="160" t="e">
        <f>Programm!EX29</f>
        <v>#DIV/0!</v>
      </c>
      <c r="F39" s="152" t="e">
        <f>Programm!F168</f>
        <v>#DIV/0!</v>
      </c>
      <c r="G39" s="152" t="e">
        <f>Programm!G168</f>
        <v>#DIV/0!</v>
      </c>
      <c r="H39" s="152" t="e">
        <f>Programm!H168</f>
        <v>#DIV/0!</v>
      </c>
      <c r="I39" s="152" t="e">
        <f>Programm!I168</f>
        <v>#DIV/0!</v>
      </c>
      <c r="J39" s="152" t="e">
        <f>Programm!J168</f>
        <v>#DIV/0!</v>
      </c>
      <c r="K39" s="152" t="e">
        <f>Programm!K168</f>
        <v>#DIV/0!</v>
      </c>
      <c r="L39" s="152" t="e">
        <f>Programm!L168</f>
        <v>#DIV/0!</v>
      </c>
      <c r="N39" s="160" t="e">
        <f>Programm!N168</f>
        <v>#DIV/0!</v>
      </c>
      <c r="O39" s="160" t="e">
        <f>Programm!O168</f>
        <v>#DIV/0!</v>
      </c>
      <c r="P39" s="160" t="e">
        <f>Programm!P168</f>
        <v>#DIV/0!</v>
      </c>
      <c r="Q39" s="160" t="e">
        <f>Programm!Q168</f>
        <v>#DIV/0!</v>
      </c>
      <c r="R39" s="160" t="e">
        <f>Programm!R168</f>
        <v>#DIV/0!</v>
      </c>
      <c r="S39" s="160" t="e">
        <f>Programm!S168</f>
        <v>#DIV/0!</v>
      </c>
      <c r="T39" s="160" t="e">
        <f>Programm!T168</f>
        <v>#DIV/0!</v>
      </c>
    </row>
    <row r="40" spans="1:20" s="152" customFormat="1" hidden="1" x14ac:dyDescent="0.2">
      <c r="A40" s="152">
        <f>Programm!A169</f>
        <v>0</v>
      </c>
      <c r="B40" s="159" t="str">
        <f>Programm!A30</f>
        <v>Übung 14</v>
      </c>
      <c r="C40" s="157">
        <f>Programm!B30</f>
        <v>0</v>
      </c>
      <c r="D40" s="155"/>
      <c r="E40" s="160" t="e">
        <f>Programm!EX30</f>
        <v>#DIV/0!</v>
      </c>
      <c r="F40" s="152" t="e">
        <f>Programm!F169</f>
        <v>#DIV/0!</v>
      </c>
      <c r="G40" s="152" t="e">
        <f>Programm!G169</f>
        <v>#DIV/0!</v>
      </c>
      <c r="H40" s="152" t="e">
        <f>Programm!H169</f>
        <v>#DIV/0!</v>
      </c>
      <c r="I40" s="152" t="e">
        <f>Programm!I169</f>
        <v>#DIV/0!</v>
      </c>
      <c r="J40" s="152" t="e">
        <f>Programm!J169</f>
        <v>#DIV/0!</v>
      </c>
      <c r="K40" s="152" t="e">
        <f>Programm!K169</f>
        <v>#DIV/0!</v>
      </c>
      <c r="L40" s="152" t="e">
        <f>Programm!L169</f>
        <v>#DIV/0!</v>
      </c>
      <c r="N40" s="160" t="e">
        <f>Programm!N169</f>
        <v>#DIV/0!</v>
      </c>
      <c r="O40" s="160" t="e">
        <f>Programm!O169</f>
        <v>#DIV/0!</v>
      </c>
      <c r="P40" s="160" t="e">
        <f>Programm!P169</f>
        <v>#DIV/0!</v>
      </c>
      <c r="Q40" s="160" t="e">
        <f>Programm!Q169</f>
        <v>#DIV/0!</v>
      </c>
      <c r="R40" s="160" t="e">
        <f>Programm!R169</f>
        <v>#DIV/0!</v>
      </c>
      <c r="S40" s="160" t="e">
        <f>Programm!S169</f>
        <v>#DIV/0!</v>
      </c>
      <c r="T40" s="160" t="e">
        <f>Programm!T169</f>
        <v>#DIV/0!</v>
      </c>
    </row>
    <row r="41" spans="1:20" s="152" customFormat="1" hidden="1" x14ac:dyDescent="0.2">
      <c r="A41" s="152">
        <f>Programm!A170</f>
        <v>0</v>
      </c>
      <c r="B41" s="159">
        <f>Programm!A31</f>
        <v>0</v>
      </c>
      <c r="C41" s="157">
        <f>Programm!B31</f>
        <v>0</v>
      </c>
      <c r="D41" s="155"/>
      <c r="E41" s="160" t="e">
        <f>Programm!EX31</f>
        <v>#DIV/0!</v>
      </c>
      <c r="F41" s="152" t="e">
        <f>Programm!F170</f>
        <v>#DIV/0!</v>
      </c>
      <c r="G41" s="152" t="e">
        <f>Programm!G170</f>
        <v>#DIV/0!</v>
      </c>
      <c r="H41" s="152" t="e">
        <f>Programm!H170</f>
        <v>#DIV/0!</v>
      </c>
      <c r="I41" s="152" t="e">
        <f>Programm!I170</f>
        <v>#DIV/0!</v>
      </c>
      <c r="J41" s="152" t="e">
        <f>Programm!J170</f>
        <v>#DIV/0!</v>
      </c>
      <c r="K41" s="152" t="e">
        <f>Programm!K170</f>
        <v>#DIV/0!</v>
      </c>
      <c r="L41" s="152" t="e">
        <f>Programm!L170</f>
        <v>#DIV/0!</v>
      </c>
      <c r="N41" s="160" t="e">
        <f>Programm!N170</f>
        <v>#DIV/0!</v>
      </c>
      <c r="O41" s="160" t="e">
        <f>Programm!O170</f>
        <v>#DIV/0!</v>
      </c>
      <c r="P41" s="160" t="e">
        <f>Programm!P170</f>
        <v>#DIV/0!</v>
      </c>
      <c r="Q41" s="160" t="e">
        <f>Programm!Q170</f>
        <v>#DIV/0!</v>
      </c>
      <c r="R41" s="160" t="e">
        <f>Programm!R170</f>
        <v>#DIV/0!</v>
      </c>
      <c r="S41" s="160" t="e">
        <f>Programm!S170</f>
        <v>#DIV/0!</v>
      </c>
      <c r="T41" s="160" t="e">
        <f>Programm!T170</f>
        <v>#DIV/0!</v>
      </c>
    </row>
    <row r="42" spans="1:20" s="152" customFormat="1" hidden="1" x14ac:dyDescent="0.2">
      <c r="A42" s="152">
        <f>Programm!A171</f>
        <v>0</v>
      </c>
      <c r="B42" s="159" t="str">
        <f>Programm!A32</f>
        <v>Übung 15</v>
      </c>
      <c r="C42" s="157">
        <f>Programm!B32</f>
        <v>0</v>
      </c>
      <c r="D42" s="155"/>
      <c r="E42" s="160" t="e">
        <f>Programm!EX32</f>
        <v>#DIV/0!</v>
      </c>
      <c r="F42" s="152" t="e">
        <f>Programm!F171</f>
        <v>#DIV/0!</v>
      </c>
      <c r="G42" s="152" t="e">
        <f>Programm!G171</f>
        <v>#DIV/0!</v>
      </c>
      <c r="H42" s="152" t="e">
        <f>Programm!H171</f>
        <v>#DIV/0!</v>
      </c>
      <c r="I42" s="152" t="e">
        <f>Programm!I171</f>
        <v>#DIV/0!</v>
      </c>
      <c r="J42" s="152" t="e">
        <f>Programm!J171</f>
        <v>#DIV/0!</v>
      </c>
      <c r="K42" s="152" t="e">
        <f>Programm!K171</f>
        <v>#DIV/0!</v>
      </c>
      <c r="L42" s="152" t="e">
        <f>Programm!L171</f>
        <v>#DIV/0!</v>
      </c>
      <c r="N42" s="160" t="e">
        <f>Programm!N171</f>
        <v>#DIV/0!</v>
      </c>
      <c r="O42" s="160" t="e">
        <f>Programm!O171</f>
        <v>#DIV/0!</v>
      </c>
      <c r="P42" s="160" t="e">
        <f>Programm!P171</f>
        <v>#DIV/0!</v>
      </c>
      <c r="Q42" s="160" t="e">
        <f>Programm!Q171</f>
        <v>#DIV/0!</v>
      </c>
      <c r="R42" s="160" t="e">
        <f>Programm!R171</f>
        <v>#DIV/0!</v>
      </c>
      <c r="S42" s="160" t="e">
        <f>Programm!S171</f>
        <v>#DIV/0!</v>
      </c>
      <c r="T42" s="160" t="e">
        <f>Programm!T171</f>
        <v>#DIV/0!</v>
      </c>
    </row>
    <row r="43" spans="1:20" s="152" customFormat="1" hidden="1" x14ac:dyDescent="0.2">
      <c r="A43" s="152">
        <f>Programm!A172</f>
        <v>0</v>
      </c>
      <c r="B43" s="159">
        <f>Programm!A33</f>
        <v>0</v>
      </c>
      <c r="C43" s="157">
        <f>Programm!B33</f>
        <v>0</v>
      </c>
      <c r="D43" s="155"/>
      <c r="E43" s="160" t="e">
        <f>Programm!EX33</f>
        <v>#DIV/0!</v>
      </c>
      <c r="F43" s="152" t="e">
        <f>Programm!F172</f>
        <v>#DIV/0!</v>
      </c>
      <c r="G43" s="152" t="e">
        <f>Programm!G172</f>
        <v>#DIV/0!</v>
      </c>
      <c r="H43" s="152" t="e">
        <f>Programm!H172</f>
        <v>#DIV/0!</v>
      </c>
      <c r="I43" s="152" t="e">
        <f>Programm!I172</f>
        <v>#DIV/0!</v>
      </c>
      <c r="J43" s="152" t="e">
        <f>Programm!J172</f>
        <v>#DIV/0!</v>
      </c>
      <c r="K43" s="152" t="e">
        <f>Programm!K172</f>
        <v>#DIV/0!</v>
      </c>
      <c r="L43" s="152" t="e">
        <f>Programm!L172</f>
        <v>#DIV/0!</v>
      </c>
      <c r="N43" s="160" t="e">
        <f>Programm!N172</f>
        <v>#DIV/0!</v>
      </c>
      <c r="O43" s="160" t="e">
        <f>Programm!O172</f>
        <v>#DIV/0!</v>
      </c>
      <c r="P43" s="160" t="e">
        <f>Programm!P172</f>
        <v>#DIV/0!</v>
      </c>
      <c r="Q43" s="160" t="e">
        <f>Programm!Q172</f>
        <v>#DIV/0!</v>
      </c>
      <c r="R43" s="160" t="e">
        <f>Programm!R172</f>
        <v>#DIV/0!</v>
      </c>
      <c r="S43" s="160" t="e">
        <f>Programm!S172</f>
        <v>#DIV/0!</v>
      </c>
      <c r="T43" s="160" t="e">
        <f>Programm!T172</f>
        <v>#DIV/0!</v>
      </c>
    </row>
    <row r="44" spans="1:20" s="152" customFormat="1" hidden="1" x14ac:dyDescent="0.2">
      <c r="A44" s="152">
        <f>Programm!A173</f>
        <v>0</v>
      </c>
      <c r="B44" s="159" t="str">
        <f>Programm!A34</f>
        <v>Übung 16</v>
      </c>
      <c r="C44" s="157">
        <f>Programm!B34</f>
        <v>0</v>
      </c>
      <c r="D44" s="155"/>
      <c r="E44" s="160" t="e">
        <f>Programm!EX34</f>
        <v>#DIV/0!</v>
      </c>
      <c r="F44" s="152" t="e">
        <f>Programm!F173</f>
        <v>#DIV/0!</v>
      </c>
      <c r="G44" s="152" t="e">
        <f>Programm!G173</f>
        <v>#DIV/0!</v>
      </c>
      <c r="H44" s="152" t="e">
        <f>Programm!H173</f>
        <v>#DIV/0!</v>
      </c>
      <c r="I44" s="152" t="e">
        <f>Programm!I173</f>
        <v>#DIV/0!</v>
      </c>
      <c r="J44" s="152" t="e">
        <f>Programm!J173</f>
        <v>#DIV/0!</v>
      </c>
      <c r="K44" s="152" t="e">
        <f>Programm!K173</f>
        <v>#DIV/0!</v>
      </c>
      <c r="L44" s="152" t="e">
        <f>Programm!L173</f>
        <v>#DIV/0!</v>
      </c>
      <c r="N44" s="160" t="e">
        <f>Programm!N173</f>
        <v>#DIV/0!</v>
      </c>
      <c r="O44" s="160" t="e">
        <f>Programm!O173</f>
        <v>#DIV/0!</v>
      </c>
      <c r="P44" s="160" t="e">
        <f>Programm!P173</f>
        <v>#DIV/0!</v>
      </c>
      <c r="Q44" s="160" t="e">
        <f>Programm!Q173</f>
        <v>#DIV/0!</v>
      </c>
      <c r="R44" s="160" t="e">
        <f>Programm!R173</f>
        <v>#DIV/0!</v>
      </c>
      <c r="S44" s="160" t="e">
        <f>Programm!S173</f>
        <v>#DIV/0!</v>
      </c>
      <c r="T44" s="160" t="e">
        <f>Programm!T173</f>
        <v>#DIV/0!</v>
      </c>
    </row>
    <row r="45" spans="1:20" s="152" customFormat="1" hidden="1" x14ac:dyDescent="0.2">
      <c r="A45" s="152">
        <f>Programm!A174</f>
        <v>0</v>
      </c>
      <c r="B45" s="159">
        <f>Programm!A35</f>
        <v>0</v>
      </c>
      <c r="C45" s="157">
        <f>Programm!B35</f>
        <v>0</v>
      </c>
      <c r="D45" s="155"/>
      <c r="E45" s="160" t="e">
        <f>Programm!EX35</f>
        <v>#DIV/0!</v>
      </c>
      <c r="F45" s="152" t="e">
        <f>Programm!F174</f>
        <v>#DIV/0!</v>
      </c>
      <c r="G45" s="152" t="e">
        <f>Programm!G174</f>
        <v>#DIV/0!</v>
      </c>
      <c r="H45" s="152" t="e">
        <f>Programm!H174</f>
        <v>#DIV/0!</v>
      </c>
      <c r="I45" s="152" t="e">
        <f>Programm!I174</f>
        <v>#DIV/0!</v>
      </c>
      <c r="J45" s="152" t="e">
        <f>Programm!J174</f>
        <v>#DIV/0!</v>
      </c>
      <c r="K45" s="152" t="e">
        <f>Programm!K174</f>
        <v>#DIV/0!</v>
      </c>
      <c r="L45" s="152" t="e">
        <f>Programm!L174</f>
        <v>#DIV/0!</v>
      </c>
      <c r="N45" s="160" t="e">
        <f>Programm!N174</f>
        <v>#DIV/0!</v>
      </c>
      <c r="O45" s="160" t="e">
        <f>Programm!O174</f>
        <v>#DIV/0!</v>
      </c>
      <c r="P45" s="160" t="e">
        <f>Programm!P174</f>
        <v>#DIV/0!</v>
      </c>
      <c r="Q45" s="160" t="e">
        <f>Programm!Q174</f>
        <v>#DIV/0!</v>
      </c>
      <c r="R45" s="160" t="e">
        <f>Programm!R174</f>
        <v>#DIV/0!</v>
      </c>
      <c r="S45" s="160" t="e">
        <f>Programm!S174</f>
        <v>#DIV/0!</v>
      </c>
      <c r="T45" s="160" t="e">
        <f>Programm!T174</f>
        <v>#DIV/0!</v>
      </c>
    </row>
    <row r="46" spans="1:20" s="152" customFormat="1" hidden="1" x14ac:dyDescent="0.2">
      <c r="A46" s="152">
        <f>Programm!A175</f>
        <v>0</v>
      </c>
      <c r="B46" s="159" t="str">
        <f>Programm!A36</f>
        <v>Übung 17</v>
      </c>
      <c r="C46" s="157">
        <f>Programm!B36</f>
        <v>0</v>
      </c>
      <c r="D46" s="155"/>
      <c r="E46" s="160" t="e">
        <f>Programm!EX36</f>
        <v>#DIV/0!</v>
      </c>
      <c r="F46" s="152" t="e">
        <f>Programm!F175</f>
        <v>#DIV/0!</v>
      </c>
      <c r="G46" s="152" t="e">
        <f>Programm!G175</f>
        <v>#DIV/0!</v>
      </c>
      <c r="H46" s="152" t="e">
        <f>Programm!H175</f>
        <v>#DIV/0!</v>
      </c>
      <c r="I46" s="152" t="e">
        <f>Programm!I175</f>
        <v>#DIV/0!</v>
      </c>
      <c r="J46" s="152" t="e">
        <f>Programm!J175</f>
        <v>#DIV/0!</v>
      </c>
      <c r="K46" s="152" t="e">
        <f>Programm!K175</f>
        <v>#DIV/0!</v>
      </c>
      <c r="L46" s="152" t="e">
        <f>Programm!L175</f>
        <v>#DIV/0!</v>
      </c>
      <c r="N46" s="160" t="e">
        <f>Programm!N175</f>
        <v>#DIV/0!</v>
      </c>
      <c r="O46" s="160" t="e">
        <f>Programm!O175</f>
        <v>#DIV/0!</v>
      </c>
      <c r="P46" s="160" t="e">
        <f>Programm!P175</f>
        <v>#DIV/0!</v>
      </c>
      <c r="Q46" s="160" t="e">
        <f>Programm!Q175</f>
        <v>#DIV/0!</v>
      </c>
      <c r="R46" s="160" t="e">
        <f>Programm!R175</f>
        <v>#DIV/0!</v>
      </c>
      <c r="S46" s="160" t="e">
        <f>Programm!S175</f>
        <v>#DIV/0!</v>
      </c>
      <c r="T46" s="160" t="e">
        <f>Programm!T175</f>
        <v>#DIV/0!</v>
      </c>
    </row>
    <row r="47" spans="1:20" s="152" customFormat="1" hidden="1" x14ac:dyDescent="0.2">
      <c r="A47" s="152">
        <f>Programm!A176</f>
        <v>0</v>
      </c>
      <c r="B47" s="159">
        <f>Programm!A37</f>
        <v>0</v>
      </c>
      <c r="C47" s="157">
        <f>Programm!B37</f>
        <v>0</v>
      </c>
      <c r="D47" s="155"/>
      <c r="E47" s="160" t="e">
        <f>Programm!EX37</f>
        <v>#DIV/0!</v>
      </c>
      <c r="F47" s="152" t="e">
        <f>Programm!F176</f>
        <v>#DIV/0!</v>
      </c>
      <c r="G47" s="152" t="e">
        <f>Programm!G176</f>
        <v>#DIV/0!</v>
      </c>
      <c r="H47" s="152" t="e">
        <f>Programm!H176</f>
        <v>#DIV/0!</v>
      </c>
      <c r="I47" s="152" t="e">
        <f>Programm!I176</f>
        <v>#DIV/0!</v>
      </c>
      <c r="J47" s="152" t="e">
        <f>Programm!J176</f>
        <v>#DIV/0!</v>
      </c>
      <c r="K47" s="152" t="e">
        <f>Programm!K176</f>
        <v>#DIV/0!</v>
      </c>
      <c r="L47" s="152" t="e">
        <f>Programm!L176</f>
        <v>#DIV/0!</v>
      </c>
      <c r="N47" s="160" t="e">
        <f>Programm!N176</f>
        <v>#DIV/0!</v>
      </c>
      <c r="O47" s="160" t="e">
        <f>Programm!O176</f>
        <v>#DIV/0!</v>
      </c>
      <c r="P47" s="160" t="e">
        <f>Programm!P176</f>
        <v>#DIV/0!</v>
      </c>
      <c r="Q47" s="160" t="e">
        <f>Programm!Q176</f>
        <v>#DIV/0!</v>
      </c>
      <c r="R47" s="160" t="e">
        <f>Programm!R176</f>
        <v>#DIV/0!</v>
      </c>
      <c r="S47" s="160" t="e">
        <f>Programm!S176</f>
        <v>#DIV/0!</v>
      </c>
      <c r="T47" s="160" t="e">
        <f>Programm!T176</f>
        <v>#DIV/0!</v>
      </c>
    </row>
    <row r="48" spans="1:20" s="152" customFormat="1" hidden="1" x14ac:dyDescent="0.2">
      <c r="A48" s="152">
        <f>Programm!A177</f>
        <v>0</v>
      </c>
      <c r="B48" s="159" t="str">
        <f>Programm!A38</f>
        <v>Übung 18</v>
      </c>
      <c r="C48" s="157">
        <f>Programm!B38</f>
        <v>0</v>
      </c>
      <c r="D48" s="155"/>
      <c r="E48" s="160" t="e">
        <f>Programm!EX38</f>
        <v>#DIV/0!</v>
      </c>
      <c r="F48" s="152" t="e">
        <f>Programm!F177</f>
        <v>#DIV/0!</v>
      </c>
      <c r="G48" s="152" t="e">
        <f>Programm!G177</f>
        <v>#DIV/0!</v>
      </c>
      <c r="H48" s="152" t="e">
        <f>Programm!H177</f>
        <v>#DIV/0!</v>
      </c>
      <c r="I48" s="152" t="e">
        <f>Programm!I177</f>
        <v>#DIV/0!</v>
      </c>
      <c r="J48" s="152" t="e">
        <f>Programm!J177</f>
        <v>#DIV/0!</v>
      </c>
      <c r="K48" s="152" t="e">
        <f>Programm!K177</f>
        <v>#DIV/0!</v>
      </c>
      <c r="L48" s="152" t="e">
        <f>Programm!L177</f>
        <v>#DIV/0!</v>
      </c>
      <c r="N48" s="160" t="e">
        <f>Programm!N177</f>
        <v>#DIV/0!</v>
      </c>
      <c r="O48" s="160" t="e">
        <f>Programm!O177</f>
        <v>#DIV/0!</v>
      </c>
      <c r="P48" s="160" t="e">
        <f>Programm!P177</f>
        <v>#DIV/0!</v>
      </c>
      <c r="Q48" s="160" t="e">
        <f>Programm!Q177</f>
        <v>#DIV/0!</v>
      </c>
      <c r="R48" s="160" t="e">
        <f>Programm!R177</f>
        <v>#DIV/0!</v>
      </c>
      <c r="S48" s="160" t="e">
        <f>Programm!S177</f>
        <v>#DIV/0!</v>
      </c>
      <c r="T48" s="160" t="e">
        <f>Programm!T177</f>
        <v>#DIV/0!</v>
      </c>
    </row>
    <row r="49" spans="1:20" s="152" customFormat="1" hidden="1" x14ac:dyDescent="0.2">
      <c r="A49" s="152">
        <f>Programm!A178</f>
        <v>0</v>
      </c>
      <c r="B49" s="159">
        <f>Programm!A39</f>
        <v>0</v>
      </c>
      <c r="C49" s="157">
        <f>Programm!B39</f>
        <v>0</v>
      </c>
      <c r="D49" s="155"/>
      <c r="E49" s="160" t="e">
        <f>Programm!EX39</f>
        <v>#DIV/0!</v>
      </c>
      <c r="F49" s="152" t="e">
        <f>Programm!F178</f>
        <v>#DIV/0!</v>
      </c>
      <c r="G49" s="152" t="e">
        <f>Programm!G178</f>
        <v>#DIV/0!</v>
      </c>
      <c r="H49" s="152" t="e">
        <f>Programm!H178</f>
        <v>#DIV/0!</v>
      </c>
      <c r="I49" s="152" t="e">
        <f>Programm!I178</f>
        <v>#DIV/0!</v>
      </c>
      <c r="J49" s="152" t="e">
        <f>Programm!J178</f>
        <v>#DIV/0!</v>
      </c>
      <c r="K49" s="152" t="e">
        <f>Programm!K178</f>
        <v>#DIV/0!</v>
      </c>
      <c r="L49" s="152" t="e">
        <f>Programm!L178</f>
        <v>#DIV/0!</v>
      </c>
      <c r="N49" s="160" t="e">
        <f>Programm!N178</f>
        <v>#DIV/0!</v>
      </c>
      <c r="O49" s="160" t="e">
        <f>Programm!O178</f>
        <v>#DIV/0!</v>
      </c>
      <c r="P49" s="160" t="e">
        <f>Programm!P178</f>
        <v>#DIV/0!</v>
      </c>
      <c r="Q49" s="160" t="e">
        <f>Programm!Q178</f>
        <v>#DIV/0!</v>
      </c>
      <c r="R49" s="160" t="e">
        <f>Programm!R178</f>
        <v>#DIV/0!</v>
      </c>
      <c r="S49" s="160" t="e">
        <f>Programm!S178</f>
        <v>#DIV/0!</v>
      </c>
      <c r="T49" s="160" t="e">
        <f>Programm!T178</f>
        <v>#DIV/0!</v>
      </c>
    </row>
    <row r="50" spans="1:20" s="152" customFormat="1" hidden="1" x14ac:dyDescent="0.2">
      <c r="A50" s="152">
        <f>Programm!A179</f>
        <v>0</v>
      </c>
      <c r="B50" s="159" t="str">
        <f>Programm!A40</f>
        <v>Übung 19</v>
      </c>
      <c r="C50" s="157">
        <f>Programm!B40</f>
        <v>0</v>
      </c>
      <c r="D50" s="155"/>
      <c r="E50" s="160" t="e">
        <f>Programm!EX40</f>
        <v>#DIV/0!</v>
      </c>
      <c r="F50" s="152" t="e">
        <f>Programm!F179</f>
        <v>#DIV/0!</v>
      </c>
      <c r="G50" s="152" t="e">
        <f>Programm!G179</f>
        <v>#DIV/0!</v>
      </c>
      <c r="H50" s="152" t="e">
        <f>Programm!H179</f>
        <v>#DIV/0!</v>
      </c>
      <c r="I50" s="152" t="e">
        <f>Programm!I179</f>
        <v>#DIV/0!</v>
      </c>
      <c r="J50" s="152" t="e">
        <f>Programm!J179</f>
        <v>#DIV/0!</v>
      </c>
      <c r="K50" s="152" t="e">
        <f>Programm!K179</f>
        <v>#DIV/0!</v>
      </c>
      <c r="L50" s="152" t="e">
        <f>Programm!L179</f>
        <v>#DIV/0!</v>
      </c>
      <c r="N50" s="160" t="e">
        <f>Programm!N179</f>
        <v>#DIV/0!</v>
      </c>
      <c r="O50" s="160" t="e">
        <f>Programm!O179</f>
        <v>#DIV/0!</v>
      </c>
      <c r="P50" s="160" t="e">
        <f>Programm!P179</f>
        <v>#DIV/0!</v>
      </c>
      <c r="Q50" s="160" t="e">
        <f>Programm!Q179</f>
        <v>#DIV/0!</v>
      </c>
      <c r="R50" s="160" t="e">
        <f>Programm!R179</f>
        <v>#DIV/0!</v>
      </c>
      <c r="S50" s="160" t="e">
        <f>Programm!S179</f>
        <v>#DIV/0!</v>
      </c>
      <c r="T50" s="160" t="e">
        <f>Programm!T179</f>
        <v>#DIV/0!</v>
      </c>
    </row>
    <row r="51" spans="1:20" s="152" customFormat="1" hidden="1" x14ac:dyDescent="0.2">
      <c r="A51" s="152">
        <f>Programm!A180</f>
        <v>0</v>
      </c>
      <c r="B51" s="159">
        <f>Programm!A41</f>
        <v>0</v>
      </c>
      <c r="C51" s="157">
        <f>Programm!B41</f>
        <v>0</v>
      </c>
      <c r="D51" s="155"/>
      <c r="E51" s="160" t="e">
        <f>Programm!EX41</f>
        <v>#DIV/0!</v>
      </c>
      <c r="F51" s="152" t="e">
        <f>Programm!F180</f>
        <v>#DIV/0!</v>
      </c>
      <c r="G51" s="152" t="e">
        <f>Programm!G180</f>
        <v>#DIV/0!</v>
      </c>
      <c r="H51" s="152" t="e">
        <f>Programm!H180</f>
        <v>#DIV/0!</v>
      </c>
      <c r="I51" s="152" t="e">
        <f>Programm!I180</f>
        <v>#DIV/0!</v>
      </c>
      <c r="J51" s="152" t="e">
        <f>Programm!J180</f>
        <v>#DIV/0!</v>
      </c>
      <c r="K51" s="152" t="e">
        <f>Programm!K180</f>
        <v>#DIV/0!</v>
      </c>
      <c r="L51" s="152" t="e">
        <f>Programm!L180</f>
        <v>#DIV/0!</v>
      </c>
      <c r="N51" s="160" t="e">
        <f>Programm!N180</f>
        <v>#DIV/0!</v>
      </c>
      <c r="O51" s="160" t="e">
        <f>Programm!O180</f>
        <v>#DIV/0!</v>
      </c>
      <c r="P51" s="160" t="e">
        <f>Programm!P180</f>
        <v>#DIV/0!</v>
      </c>
      <c r="Q51" s="160" t="e">
        <f>Programm!Q180</f>
        <v>#DIV/0!</v>
      </c>
      <c r="R51" s="160" t="e">
        <f>Programm!R180</f>
        <v>#DIV/0!</v>
      </c>
      <c r="S51" s="160" t="e">
        <f>Programm!S180</f>
        <v>#DIV/0!</v>
      </c>
      <c r="T51" s="160" t="e">
        <f>Programm!T180</f>
        <v>#DIV/0!</v>
      </c>
    </row>
    <row r="52" spans="1:20" s="153" customFormat="1" hidden="1" x14ac:dyDescent="0.2">
      <c r="A52" s="153">
        <f>Programm!A181</f>
        <v>0</v>
      </c>
      <c r="B52" s="159" t="str">
        <f>Programm!A42</f>
        <v>Übung 20</v>
      </c>
      <c r="C52" s="162">
        <f>Programm!B42</f>
        <v>0</v>
      </c>
      <c r="D52" s="161"/>
      <c r="E52" s="166" t="e">
        <f>Programm!EX42</f>
        <v>#DIV/0!</v>
      </c>
      <c r="F52" s="153" t="e">
        <f>Programm!F181</f>
        <v>#DIV/0!</v>
      </c>
      <c r="G52" s="153" t="e">
        <f>Programm!G181</f>
        <v>#DIV/0!</v>
      </c>
      <c r="H52" s="153" t="e">
        <f>Programm!H181</f>
        <v>#DIV/0!</v>
      </c>
      <c r="I52" s="153" t="e">
        <f>Programm!I181</f>
        <v>#DIV/0!</v>
      </c>
      <c r="J52" s="153" t="e">
        <f>Programm!J181</f>
        <v>#DIV/0!</v>
      </c>
      <c r="K52" s="153" t="e">
        <f>Programm!K181</f>
        <v>#DIV/0!</v>
      </c>
      <c r="L52" s="153" t="e">
        <f>Programm!L181</f>
        <v>#DIV/0!</v>
      </c>
      <c r="N52" s="166" t="e">
        <f>Programm!N181</f>
        <v>#DIV/0!</v>
      </c>
      <c r="O52" s="166" t="e">
        <f>Programm!O181</f>
        <v>#DIV/0!</v>
      </c>
      <c r="P52" s="166" t="e">
        <f>Programm!P181</f>
        <v>#DIV/0!</v>
      </c>
      <c r="Q52" s="166" t="e">
        <f>Programm!Q181</f>
        <v>#DIV/0!</v>
      </c>
      <c r="R52" s="166" t="e">
        <f>Programm!R181</f>
        <v>#DIV/0!</v>
      </c>
      <c r="S52" s="166" t="e">
        <f>Programm!S181</f>
        <v>#DIV/0!</v>
      </c>
      <c r="T52" s="166" t="e">
        <f>Programm!T181</f>
        <v>#DIV/0!</v>
      </c>
    </row>
    <row r="53" spans="1:20" s="152" customFormat="1" hidden="1" x14ac:dyDescent="0.2">
      <c r="A53" s="152">
        <f>Programm!A182</f>
        <v>0</v>
      </c>
      <c r="B53" s="156">
        <f>Programm!A43</f>
        <v>0</v>
      </c>
      <c r="C53" s="157">
        <f>Programm!B43</f>
        <v>0</v>
      </c>
      <c r="D53" s="155"/>
      <c r="E53" s="160" t="e">
        <f>Programm!EX43</f>
        <v>#DIV/0!</v>
      </c>
      <c r="F53" s="152" t="e">
        <f>Programm!F182</f>
        <v>#DIV/0!</v>
      </c>
      <c r="G53" s="152" t="e">
        <f>Programm!G182</f>
        <v>#DIV/0!</v>
      </c>
      <c r="H53" s="152" t="e">
        <f>Programm!H182</f>
        <v>#DIV/0!</v>
      </c>
      <c r="I53" s="152" t="e">
        <f>Programm!I182</f>
        <v>#DIV/0!</v>
      </c>
      <c r="J53" s="152" t="e">
        <f>Programm!J182</f>
        <v>#DIV/0!</v>
      </c>
      <c r="K53" s="152" t="e">
        <f>Programm!K182</f>
        <v>#DIV/0!</v>
      </c>
      <c r="L53" s="152" t="e">
        <f>Programm!L182</f>
        <v>#DIV/0!</v>
      </c>
      <c r="N53" s="160" t="e">
        <f>Programm!N182</f>
        <v>#DIV/0!</v>
      </c>
      <c r="O53" s="160" t="e">
        <f>Programm!O182</f>
        <v>#DIV/0!</v>
      </c>
      <c r="P53" s="160" t="e">
        <f>Programm!P182</f>
        <v>#DIV/0!</v>
      </c>
      <c r="Q53" s="160" t="e">
        <f>Programm!Q182</f>
        <v>#DIV/0!</v>
      </c>
      <c r="R53" s="160" t="e">
        <f>Programm!R182</f>
        <v>#DIV/0!</v>
      </c>
      <c r="S53" s="160" t="e">
        <f>Programm!S182</f>
        <v>#DIV/0!</v>
      </c>
      <c r="T53" s="160" t="e">
        <f>Programm!T182</f>
        <v>#DIV/0!</v>
      </c>
    </row>
    <row r="54" spans="1:20" s="152" customFormat="1" hidden="1" x14ac:dyDescent="0.2">
      <c r="A54" s="152">
        <f>Programm!A183</f>
        <v>0</v>
      </c>
      <c r="B54" s="159" t="str">
        <f>Programm!A44</f>
        <v>Übung 21</v>
      </c>
      <c r="C54" s="157">
        <f>Programm!B44</f>
        <v>0</v>
      </c>
      <c r="D54" s="155"/>
      <c r="E54" s="160" t="e">
        <f>Programm!EX44</f>
        <v>#DIV/0!</v>
      </c>
      <c r="F54" s="152" t="e">
        <f>Programm!F183</f>
        <v>#DIV/0!</v>
      </c>
      <c r="G54" s="152" t="e">
        <f>Programm!G183</f>
        <v>#DIV/0!</v>
      </c>
      <c r="H54" s="152" t="e">
        <f>Programm!H183</f>
        <v>#DIV/0!</v>
      </c>
      <c r="I54" s="152" t="e">
        <f>Programm!I183</f>
        <v>#DIV/0!</v>
      </c>
      <c r="J54" s="152" t="e">
        <f>Programm!J183</f>
        <v>#DIV/0!</v>
      </c>
      <c r="K54" s="152" t="e">
        <f>Programm!K183</f>
        <v>#DIV/0!</v>
      </c>
      <c r="L54" s="152" t="e">
        <f>Programm!L183</f>
        <v>#DIV/0!</v>
      </c>
      <c r="N54" s="160" t="e">
        <f>Programm!N183</f>
        <v>#DIV/0!</v>
      </c>
      <c r="O54" s="160" t="e">
        <f>Programm!O183</f>
        <v>#DIV/0!</v>
      </c>
      <c r="P54" s="160" t="e">
        <f>Programm!P183</f>
        <v>#DIV/0!</v>
      </c>
      <c r="Q54" s="160" t="e">
        <f>Programm!Q183</f>
        <v>#DIV/0!</v>
      </c>
      <c r="R54" s="160" t="e">
        <f>Programm!R183</f>
        <v>#DIV/0!</v>
      </c>
      <c r="S54" s="160" t="e">
        <f>Programm!S183</f>
        <v>#DIV/0!</v>
      </c>
      <c r="T54" s="160" t="e">
        <f>Programm!T183</f>
        <v>#DIV/0!</v>
      </c>
    </row>
    <row r="55" spans="1:20" s="152" customFormat="1" hidden="1" x14ac:dyDescent="0.2">
      <c r="A55" s="152">
        <f>Programm!A184</f>
        <v>0</v>
      </c>
      <c r="B55" s="159">
        <f>Programm!A45</f>
        <v>0</v>
      </c>
      <c r="C55" s="157">
        <f>Programm!B45</f>
        <v>0</v>
      </c>
      <c r="D55" s="155"/>
      <c r="E55" s="160" t="e">
        <f>Programm!EX45</f>
        <v>#DIV/0!</v>
      </c>
      <c r="F55" s="152" t="e">
        <f>Programm!F184</f>
        <v>#DIV/0!</v>
      </c>
      <c r="G55" s="152" t="e">
        <f>Programm!G184</f>
        <v>#DIV/0!</v>
      </c>
      <c r="H55" s="152" t="e">
        <f>Programm!H184</f>
        <v>#DIV/0!</v>
      </c>
      <c r="I55" s="152" t="e">
        <f>Programm!I184</f>
        <v>#DIV/0!</v>
      </c>
      <c r="J55" s="152" t="e">
        <f>Programm!J184</f>
        <v>#DIV/0!</v>
      </c>
      <c r="K55" s="152" t="e">
        <f>Programm!K184</f>
        <v>#DIV/0!</v>
      </c>
      <c r="L55" s="152" t="e">
        <f>Programm!L184</f>
        <v>#DIV/0!</v>
      </c>
      <c r="N55" s="160" t="e">
        <f>Programm!N184</f>
        <v>#DIV/0!</v>
      </c>
      <c r="O55" s="160" t="e">
        <f>Programm!O184</f>
        <v>#DIV/0!</v>
      </c>
      <c r="P55" s="160" t="e">
        <f>Programm!P184</f>
        <v>#DIV/0!</v>
      </c>
      <c r="Q55" s="160" t="e">
        <f>Programm!Q184</f>
        <v>#DIV/0!</v>
      </c>
      <c r="R55" s="160" t="e">
        <f>Programm!R184</f>
        <v>#DIV/0!</v>
      </c>
      <c r="S55" s="160" t="e">
        <f>Programm!S184</f>
        <v>#DIV/0!</v>
      </c>
      <c r="T55" s="160" t="e">
        <f>Programm!T184</f>
        <v>#DIV/0!</v>
      </c>
    </row>
    <row r="56" spans="1:20" s="152" customFormat="1" hidden="1" x14ac:dyDescent="0.2">
      <c r="A56" s="152">
        <f>Programm!A185</f>
        <v>0</v>
      </c>
      <c r="B56" s="159" t="str">
        <f>Programm!A46</f>
        <v>Übung 22</v>
      </c>
      <c r="C56" s="157">
        <f>Programm!B46</f>
        <v>0</v>
      </c>
      <c r="D56" s="155"/>
      <c r="E56" s="160" t="e">
        <f>Programm!EX46</f>
        <v>#DIV/0!</v>
      </c>
      <c r="F56" s="152" t="e">
        <f>Programm!F185</f>
        <v>#DIV/0!</v>
      </c>
      <c r="G56" s="152" t="e">
        <f>Programm!G185</f>
        <v>#DIV/0!</v>
      </c>
      <c r="H56" s="152" t="e">
        <f>Programm!H185</f>
        <v>#DIV/0!</v>
      </c>
      <c r="I56" s="152" t="e">
        <f>Programm!I185</f>
        <v>#DIV/0!</v>
      </c>
      <c r="J56" s="152" t="e">
        <f>Programm!J185</f>
        <v>#DIV/0!</v>
      </c>
      <c r="K56" s="152" t="e">
        <f>Programm!K185</f>
        <v>#DIV/0!</v>
      </c>
      <c r="L56" s="152" t="e">
        <f>Programm!L185</f>
        <v>#DIV/0!</v>
      </c>
      <c r="N56" s="160" t="e">
        <f>Programm!N185</f>
        <v>#DIV/0!</v>
      </c>
      <c r="O56" s="160" t="e">
        <f>Programm!O185</f>
        <v>#DIV/0!</v>
      </c>
      <c r="P56" s="160" t="e">
        <f>Programm!P185</f>
        <v>#DIV/0!</v>
      </c>
      <c r="Q56" s="160" t="e">
        <f>Programm!Q185</f>
        <v>#DIV/0!</v>
      </c>
      <c r="R56" s="160" t="e">
        <f>Programm!R185</f>
        <v>#DIV/0!</v>
      </c>
      <c r="S56" s="160" t="e">
        <f>Programm!S185</f>
        <v>#DIV/0!</v>
      </c>
      <c r="T56" s="160" t="e">
        <f>Programm!T185</f>
        <v>#DIV/0!</v>
      </c>
    </row>
    <row r="57" spans="1:20" s="152" customFormat="1" hidden="1" x14ac:dyDescent="0.2">
      <c r="A57" s="152">
        <f>Programm!A186</f>
        <v>0</v>
      </c>
      <c r="B57" s="159">
        <f>Programm!A47</f>
        <v>0</v>
      </c>
      <c r="C57" s="157">
        <f>Programm!B47</f>
        <v>0</v>
      </c>
      <c r="D57" s="155"/>
      <c r="E57" s="160" t="e">
        <f>Programm!EX47</f>
        <v>#DIV/0!</v>
      </c>
      <c r="F57" s="152" t="e">
        <f>Programm!F186</f>
        <v>#DIV/0!</v>
      </c>
      <c r="G57" s="152" t="e">
        <f>Programm!G186</f>
        <v>#DIV/0!</v>
      </c>
      <c r="H57" s="152" t="e">
        <f>Programm!H186</f>
        <v>#DIV/0!</v>
      </c>
      <c r="I57" s="152" t="e">
        <f>Programm!I186</f>
        <v>#DIV/0!</v>
      </c>
      <c r="J57" s="152" t="e">
        <f>Programm!J186</f>
        <v>#DIV/0!</v>
      </c>
      <c r="K57" s="152" t="e">
        <f>Programm!K186</f>
        <v>#DIV/0!</v>
      </c>
      <c r="L57" s="152" t="e">
        <f>Programm!L186</f>
        <v>#DIV/0!</v>
      </c>
      <c r="N57" s="160" t="e">
        <f>Programm!N186</f>
        <v>#DIV/0!</v>
      </c>
      <c r="O57" s="160" t="e">
        <f>Programm!O186</f>
        <v>#DIV/0!</v>
      </c>
      <c r="P57" s="160" t="e">
        <f>Programm!P186</f>
        <v>#DIV/0!</v>
      </c>
      <c r="Q57" s="160" t="e">
        <f>Programm!Q186</f>
        <v>#DIV/0!</v>
      </c>
      <c r="R57" s="160" t="e">
        <f>Programm!R186</f>
        <v>#DIV/0!</v>
      </c>
      <c r="S57" s="160" t="e">
        <f>Programm!S186</f>
        <v>#DIV/0!</v>
      </c>
      <c r="T57" s="160" t="e">
        <f>Programm!T186</f>
        <v>#DIV/0!</v>
      </c>
    </row>
    <row r="58" spans="1:20" s="152" customFormat="1" hidden="1" x14ac:dyDescent="0.2">
      <c r="A58" s="152">
        <f>Programm!A187</f>
        <v>0</v>
      </c>
      <c r="B58" s="159" t="str">
        <f>Programm!A48</f>
        <v>Übung 23</v>
      </c>
      <c r="C58" s="157">
        <f>Programm!B48</f>
        <v>0</v>
      </c>
      <c r="D58" s="155"/>
      <c r="E58" s="160" t="e">
        <f>Programm!EX48</f>
        <v>#DIV/0!</v>
      </c>
      <c r="F58" s="152" t="e">
        <f>Programm!F187</f>
        <v>#DIV/0!</v>
      </c>
      <c r="G58" s="152" t="e">
        <f>Programm!G187</f>
        <v>#DIV/0!</v>
      </c>
      <c r="H58" s="152" t="e">
        <f>Programm!H187</f>
        <v>#DIV/0!</v>
      </c>
      <c r="I58" s="152" t="e">
        <f>Programm!I187</f>
        <v>#DIV/0!</v>
      </c>
      <c r="J58" s="152" t="e">
        <f>Programm!J187</f>
        <v>#DIV/0!</v>
      </c>
      <c r="K58" s="152" t="e">
        <f>Programm!K187</f>
        <v>#DIV/0!</v>
      </c>
      <c r="L58" s="152" t="e">
        <f>Programm!L187</f>
        <v>#DIV/0!</v>
      </c>
      <c r="N58" s="160" t="e">
        <f>Programm!N187</f>
        <v>#DIV/0!</v>
      </c>
      <c r="O58" s="160" t="e">
        <f>Programm!O187</f>
        <v>#DIV/0!</v>
      </c>
      <c r="P58" s="160" t="e">
        <f>Programm!P187</f>
        <v>#DIV/0!</v>
      </c>
      <c r="Q58" s="160" t="e">
        <f>Programm!Q187</f>
        <v>#DIV/0!</v>
      </c>
      <c r="R58" s="160" t="e">
        <f>Programm!R187</f>
        <v>#DIV/0!</v>
      </c>
      <c r="S58" s="160" t="e">
        <f>Programm!S187</f>
        <v>#DIV/0!</v>
      </c>
      <c r="T58" s="160" t="e">
        <f>Programm!T187</f>
        <v>#DIV/0!</v>
      </c>
    </row>
    <row r="59" spans="1:20" s="152" customFormat="1" hidden="1" x14ac:dyDescent="0.2">
      <c r="A59" s="152">
        <f>Programm!A188</f>
        <v>0</v>
      </c>
      <c r="B59" s="159">
        <f>Programm!A49</f>
        <v>0</v>
      </c>
      <c r="C59" s="157">
        <f>Programm!B49</f>
        <v>0</v>
      </c>
      <c r="D59" s="155"/>
      <c r="E59" s="160" t="e">
        <f>Programm!EX49</f>
        <v>#DIV/0!</v>
      </c>
      <c r="F59" s="152" t="e">
        <f>Programm!F188</f>
        <v>#DIV/0!</v>
      </c>
      <c r="G59" s="152" t="e">
        <f>Programm!G188</f>
        <v>#DIV/0!</v>
      </c>
      <c r="H59" s="152" t="e">
        <f>Programm!H188</f>
        <v>#DIV/0!</v>
      </c>
      <c r="I59" s="152" t="e">
        <f>Programm!I188</f>
        <v>#DIV/0!</v>
      </c>
      <c r="J59" s="152" t="e">
        <f>Programm!J188</f>
        <v>#DIV/0!</v>
      </c>
      <c r="K59" s="152" t="e">
        <f>Programm!K188</f>
        <v>#DIV/0!</v>
      </c>
      <c r="L59" s="152" t="e">
        <f>Programm!L188</f>
        <v>#DIV/0!</v>
      </c>
      <c r="N59" s="160" t="e">
        <f>Programm!N188</f>
        <v>#DIV/0!</v>
      </c>
      <c r="O59" s="160" t="e">
        <f>Programm!O188</f>
        <v>#DIV/0!</v>
      </c>
      <c r="P59" s="160" t="e">
        <f>Programm!P188</f>
        <v>#DIV/0!</v>
      </c>
      <c r="Q59" s="160" t="e">
        <f>Programm!Q188</f>
        <v>#DIV/0!</v>
      </c>
      <c r="R59" s="160" t="e">
        <f>Programm!R188</f>
        <v>#DIV/0!</v>
      </c>
      <c r="S59" s="160" t="e">
        <f>Programm!S188</f>
        <v>#DIV/0!</v>
      </c>
      <c r="T59" s="160" t="e">
        <f>Programm!T188</f>
        <v>#DIV/0!</v>
      </c>
    </row>
    <row r="60" spans="1:20" s="152" customFormat="1" hidden="1" x14ac:dyDescent="0.2">
      <c r="A60" s="152">
        <f>Programm!A189</f>
        <v>0</v>
      </c>
      <c r="B60" s="159" t="str">
        <f>Programm!A50</f>
        <v>Übung 24</v>
      </c>
      <c r="C60" s="157">
        <f>Programm!B50</f>
        <v>0</v>
      </c>
      <c r="D60" s="155"/>
      <c r="E60" s="160" t="e">
        <f>Programm!EX50</f>
        <v>#DIV/0!</v>
      </c>
      <c r="F60" s="152" t="e">
        <f>Programm!F189</f>
        <v>#DIV/0!</v>
      </c>
      <c r="G60" s="152" t="e">
        <f>Programm!G189</f>
        <v>#DIV/0!</v>
      </c>
      <c r="H60" s="152" t="e">
        <f>Programm!H189</f>
        <v>#DIV/0!</v>
      </c>
      <c r="I60" s="152" t="e">
        <f>Programm!I189</f>
        <v>#DIV/0!</v>
      </c>
      <c r="J60" s="152" t="e">
        <f>Programm!J189</f>
        <v>#DIV/0!</v>
      </c>
      <c r="K60" s="152" t="e">
        <f>Programm!K189</f>
        <v>#DIV/0!</v>
      </c>
      <c r="L60" s="152" t="e">
        <f>Programm!L189</f>
        <v>#DIV/0!</v>
      </c>
      <c r="N60" s="160" t="e">
        <f>Programm!N189</f>
        <v>#DIV/0!</v>
      </c>
      <c r="O60" s="160" t="e">
        <f>Programm!O189</f>
        <v>#DIV/0!</v>
      </c>
      <c r="P60" s="160" t="e">
        <f>Programm!P189</f>
        <v>#DIV/0!</v>
      </c>
      <c r="Q60" s="160" t="e">
        <f>Programm!Q189</f>
        <v>#DIV/0!</v>
      </c>
      <c r="R60" s="160" t="e">
        <f>Programm!R189</f>
        <v>#DIV/0!</v>
      </c>
      <c r="S60" s="160" t="e">
        <f>Programm!S189</f>
        <v>#DIV/0!</v>
      </c>
      <c r="T60" s="160" t="e">
        <f>Programm!T189</f>
        <v>#DIV/0!</v>
      </c>
    </row>
    <row r="61" spans="1:20" s="152" customFormat="1" hidden="1" x14ac:dyDescent="0.2">
      <c r="A61" s="152">
        <f>Programm!A190</f>
        <v>0</v>
      </c>
      <c r="B61" s="159">
        <f>Programm!A51</f>
        <v>0</v>
      </c>
      <c r="C61" s="157">
        <f>Programm!B51</f>
        <v>0</v>
      </c>
      <c r="D61" s="155"/>
      <c r="E61" s="160" t="e">
        <f>Programm!EX51</f>
        <v>#DIV/0!</v>
      </c>
      <c r="F61" s="152" t="e">
        <f>Programm!F190</f>
        <v>#DIV/0!</v>
      </c>
      <c r="G61" s="152" t="e">
        <f>Programm!G190</f>
        <v>#DIV/0!</v>
      </c>
      <c r="H61" s="152" t="e">
        <f>Programm!H190</f>
        <v>#DIV/0!</v>
      </c>
      <c r="I61" s="152" t="e">
        <f>Programm!I190</f>
        <v>#DIV/0!</v>
      </c>
      <c r="J61" s="152" t="e">
        <f>Programm!J190</f>
        <v>#DIV/0!</v>
      </c>
      <c r="K61" s="152" t="e">
        <f>Programm!K190</f>
        <v>#DIV/0!</v>
      </c>
      <c r="L61" s="152" t="e">
        <f>Programm!L190</f>
        <v>#DIV/0!</v>
      </c>
      <c r="N61" s="160" t="e">
        <f>Programm!N190</f>
        <v>#DIV/0!</v>
      </c>
      <c r="O61" s="160" t="e">
        <f>Programm!O190</f>
        <v>#DIV/0!</v>
      </c>
      <c r="P61" s="160" t="e">
        <f>Programm!P190</f>
        <v>#DIV/0!</v>
      </c>
      <c r="Q61" s="160" t="e">
        <f>Programm!Q190</f>
        <v>#DIV/0!</v>
      </c>
      <c r="R61" s="160" t="e">
        <f>Programm!R190</f>
        <v>#DIV/0!</v>
      </c>
      <c r="S61" s="160" t="e">
        <f>Programm!S190</f>
        <v>#DIV/0!</v>
      </c>
      <c r="T61" s="160" t="e">
        <f>Programm!T190</f>
        <v>#DIV/0!</v>
      </c>
    </row>
    <row r="62" spans="1:20" s="152" customFormat="1" hidden="1" x14ac:dyDescent="0.2">
      <c r="A62" s="152">
        <f>Programm!A191</f>
        <v>0</v>
      </c>
      <c r="B62" s="159" t="str">
        <f>Programm!A52</f>
        <v>Übung 25</v>
      </c>
      <c r="C62" s="157">
        <f>Programm!B52</f>
        <v>0</v>
      </c>
      <c r="D62" s="155"/>
      <c r="E62" s="160" t="e">
        <f>Programm!EX52</f>
        <v>#DIV/0!</v>
      </c>
      <c r="F62" s="152" t="e">
        <f>Programm!F191</f>
        <v>#DIV/0!</v>
      </c>
      <c r="G62" s="152" t="e">
        <f>Programm!G191</f>
        <v>#DIV/0!</v>
      </c>
      <c r="H62" s="152" t="e">
        <f>Programm!H191</f>
        <v>#DIV/0!</v>
      </c>
      <c r="I62" s="152" t="e">
        <f>Programm!I191</f>
        <v>#DIV/0!</v>
      </c>
      <c r="J62" s="152" t="e">
        <f>Programm!J191</f>
        <v>#DIV/0!</v>
      </c>
      <c r="K62" s="152" t="e">
        <f>Programm!K191</f>
        <v>#DIV/0!</v>
      </c>
      <c r="L62" s="152" t="e">
        <f>Programm!L191</f>
        <v>#DIV/0!</v>
      </c>
      <c r="N62" s="160" t="e">
        <f>Programm!N191</f>
        <v>#DIV/0!</v>
      </c>
      <c r="O62" s="160" t="e">
        <f>Programm!O191</f>
        <v>#DIV/0!</v>
      </c>
      <c r="P62" s="160" t="e">
        <f>Programm!P191</f>
        <v>#DIV/0!</v>
      </c>
      <c r="Q62" s="160" t="e">
        <f>Programm!Q191</f>
        <v>#DIV/0!</v>
      </c>
      <c r="R62" s="160" t="e">
        <f>Programm!R191</f>
        <v>#DIV/0!</v>
      </c>
      <c r="S62" s="160" t="e">
        <f>Programm!S191</f>
        <v>#DIV/0!</v>
      </c>
      <c r="T62" s="160" t="e">
        <f>Programm!T191</f>
        <v>#DIV/0!</v>
      </c>
    </row>
    <row r="63" spans="1:20" s="152" customFormat="1" hidden="1" x14ac:dyDescent="0.2">
      <c r="A63" s="152">
        <f>Programm!A192</f>
        <v>0</v>
      </c>
      <c r="B63" s="159">
        <f>Programm!A53</f>
        <v>0</v>
      </c>
      <c r="C63" s="157">
        <f>Programm!B53</f>
        <v>0</v>
      </c>
      <c r="D63" s="155"/>
      <c r="E63" s="160" t="e">
        <f>Programm!EX53</f>
        <v>#DIV/0!</v>
      </c>
      <c r="F63" s="152" t="e">
        <f>Programm!F192</f>
        <v>#DIV/0!</v>
      </c>
      <c r="G63" s="152" t="e">
        <f>Programm!G192</f>
        <v>#DIV/0!</v>
      </c>
      <c r="H63" s="152" t="e">
        <f>Programm!H192</f>
        <v>#DIV/0!</v>
      </c>
      <c r="I63" s="152" t="e">
        <f>Programm!I192</f>
        <v>#DIV/0!</v>
      </c>
      <c r="J63" s="152" t="e">
        <f>Programm!J192</f>
        <v>#DIV/0!</v>
      </c>
      <c r="K63" s="152" t="e">
        <f>Programm!K192</f>
        <v>#DIV/0!</v>
      </c>
      <c r="L63" s="152" t="e">
        <f>Programm!L192</f>
        <v>#DIV/0!</v>
      </c>
      <c r="N63" s="160" t="e">
        <f>Programm!N192</f>
        <v>#DIV/0!</v>
      </c>
      <c r="O63" s="160" t="e">
        <f>Programm!O192</f>
        <v>#DIV/0!</v>
      </c>
      <c r="P63" s="160" t="e">
        <f>Programm!P192</f>
        <v>#DIV/0!</v>
      </c>
      <c r="Q63" s="160" t="e">
        <f>Programm!Q192</f>
        <v>#DIV/0!</v>
      </c>
      <c r="R63" s="160" t="e">
        <f>Programm!R192</f>
        <v>#DIV/0!</v>
      </c>
      <c r="S63" s="160" t="e">
        <f>Programm!S192</f>
        <v>#DIV/0!</v>
      </c>
      <c r="T63" s="160" t="e">
        <f>Programm!T192</f>
        <v>#DIV/0!</v>
      </c>
    </row>
    <row r="64" spans="1:20" s="152" customFormat="1" hidden="1" x14ac:dyDescent="0.2">
      <c r="A64" s="152">
        <f>Programm!A193</f>
        <v>0</v>
      </c>
      <c r="B64" s="159" t="str">
        <f>Programm!A54</f>
        <v>Übung 26</v>
      </c>
      <c r="C64" s="157">
        <f>Programm!B54</f>
        <v>0</v>
      </c>
      <c r="D64" s="155"/>
      <c r="E64" s="160" t="e">
        <f>Programm!EX54</f>
        <v>#DIV/0!</v>
      </c>
      <c r="F64" s="152" t="e">
        <f>Programm!F193</f>
        <v>#DIV/0!</v>
      </c>
      <c r="G64" s="152" t="e">
        <f>Programm!G193</f>
        <v>#DIV/0!</v>
      </c>
      <c r="H64" s="152" t="e">
        <f>Programm!H193</f>
        <v>#DIV/0!</v>
      </c>
      <c r="I64" s="152" t="e">
        <f>Programm!I193</f>
        <v>#DIV/0!</v>
      </c>
      <c r="J64" s="152" t="e">
        <f>Programm!J193</f>
        <v>#DIV/0!</v>
      </c>
      <c r="K64" s="152" t="e">
        <f>Programm!K193</f>
        <v>#DIV/0!</v>
      </c>
      <c r="L64" s="152" t="e">
        <f>Programm!L193</f>
        <v>#DIV/0!</v>
      </c>
      <c r="N64" s="160" t="e">
        <f>Programm!N193</f>
        <v>#DIV/0!</v>
      </c>
      <c r="O64" s="160" t="e">
        <f>Programm!O193</f>
        <v>#DIV/0!</v>
      </c>
      <c r="P64" s="160" t="e">
        <f>Programm!P193</f>
        <v>#DIV/0!</v>
      </c>
      <c r="Q64" s="160" t="e">
        <f>Programm!Q193</f>
        <v>#DIV/0!</v>
      </c>
      <c r="R64" s="160" t="e">
        <f>Programm!R193</f>
        <v>#DIV/0!</v>
      </c>
      <c r="S64" s="160" t="e">
        <f>Programm!S193</f>
        <v>#DIV/0!</v>
      </c>
      <c r="T64" s="160" t="e">
        <f>Programm!T193</f>
        <v>#DIV/0!</v>
      </c>
    </row>
    <row r="65" spans="1:20" s="152" customFormat="1" hidden="1" x14ac:dyDescent="0.2">
      <c r="A65" s="152">
        <f>Programm!A194</f>
        <v>0</v>
      </c>
      <c r="B65" s="159">
        <f>Programm!A55</f>
        <v>0</v>
      </c>
      <c r="C65" s="157">
        <f>Programm!B55</f>
        <v>0</v>
      </c>
      <c r="D65" s="155"/>
      <c r="E65" s="160" t="e">
        <f>Programm!EX55</f>
        <v>#DIV/0!</v>
      </c>
      <c r="F65" s="152" t="e">
        <f>Programm!F194</f>
        <v>#DIV/0!</v>
      </c>
      <c r="G65" s="152" t="e">
        <f>Programm!G194</f>
        <v>#DIV/0!</v>
      </c>
      <c r="H65" s="152" t="e">
        <f>Programm!H194</f>
        <v>#DIV/0!</v>
      </c>
      <c r="I65" s="152" t="e">
        <f>Programm!I194</f>
        <v>#DIV/0!</v>
      </c>
      <c r="J65" s="152" t="e">
        <f>Programm!J194</f>
        <v>#DIV/0!</v>
      </c>
      <c r="K65" s="152" t="e">
        <f>Programm!K194</f>
        <v>#DIV/0!</v>
      </c>
      <c r="L65" s="152" t="e">
        <f>Programm!L194</f>
        <v>#DIV/0!</v>
      </c>
      <c r="N65" s="160" t="e">
        <f>Programm!N194</f>
        <v>#DIV/0!</v>
      </c>
      <c r="O65" s="160" t="e">
        <f>Programm!O194</f>
        <v>#DIV/0!</v>
      </c>
      <c r="P65" s="160" t="e">
        <f>Programm!P194</f>
        <v>#DIV/0!</v>
      </c>
      <c r="Q65" s="160" t="e">
        <f>Programm!Q194</f>
        <v>#DIV/0!</v>
      </c>
      <c r="R65" s="160" t="e">
        <f>Programm!R194</f>
        <v>#DIV/0!</v>
      </c>
      <c r="S65" s="160" t="e">
        <f>Programm!S194</f>
        <v>#DIV/0!</v>
      </c>
      <c r="T65" s="160" t="e">
        <f>Programm!T194</f>
        <v>#DIV/0!</v>
      </c>
    </row>
    <row r="66" spans="1:20" s="221" customFormat="1" x14ac:dyDescent="0.2">
      <c r="A66" s="221">
        <f>Programm!A195</f>
        <v>0</v>
      </c>
      <c r="B66" s="230" t="str">
        <f>Programm!A56</f>
        <v>Übung 27</v>
      </c>
      <c r="C66" s="231">
        <f>Programm!B56</f>
        <v>0</v>
      </c>
      <c r="D66" s="232"/>
      <c r="E66" s="233" t="e">
        <f>Programm!EX56</f>
        <v>#DIV/0!</v>
      </c>
      <c r="F66" s="221" t="e">
        <f>Programm!F195</f>
        <v>#DIV/0!</v>
      </c>
      <c r="G66" s="221" t="e">
        <f>Programm!G195</f>
        <v>#DIV/0!</v>
      </c>
      <c r="H66" s="221" t="e">
        <f>Programm!H195</f>
        <v>#DIV/0!</v>
      </c>
      <c r="I66" s="221" t="e">
        <f>Programm!I195</f>
        <v>#DIV/0!</v>
      </c>
      <c r="J66" s="221" t="e">
        <f>Programm!J195</f>
        <v>#DIV/0!</v>
      </c>
      <c r="K66" s="221" t="e">
        <f>Programm!K195</f>
        <v>#DIV/0!</v>
      </c>
      <c r="L66" s="221" t="e">
        <f>Programm!L195</f>
        <v>#DIV/0!</v>
      </c>
      <c r="N66" s="233" t="e">
        <f>Programm!N195</f>
        <v>#DIV/0!</v>
      </c>
      <c r="O66" s="233" t="e">
        <f>Programm!O195</f>
        <v>#DIV/0!</v>
      </c>
      <c r="P66" s="233" t="e">
        <f>Programm!P195</f>
        <v>#DIV/0!</v>
      </c>
      <c r="Q66" s="233" t="e">
        <f>Programm!Q195</f>
        <v>#DIV/0!</v>
      </c>
      <c r="R66" s="233" t="e">
        <f>Programm!R195</f>
        <v>#DIV/0!</v>
      </c>
      <c r="S66" s="233" t="e">
        <f>Programm!S195</f>
        <v>#DIV/0!</v>
      </c>
      <c r="T66" s="233" t="e">
        <f>Programm!T195</f>
        <v>#DIV/0!</v>
      </c>
    </row>
    <row r="67" spans="1:20" s="152" customFormat="1" hidden="1" x14ac:dyDescent="0.2">
      <c r="A67" s="152">
        <f>Programm!A196</f>
        <v>0</v>
      </c>
      <c r="B67" s="159">
        <f>Programm!A57</f>
        <v>0</v>
      </c>
      <c r="C67" s="157">
        <f>Programm!B57</f>
        <v>0</v>
      </c>
      <c r="D67" s="155"/>
      <c r="E67" s="160" t="e">
        <f>Programm!EX57</f>
        <v>#DIV/0!</v>
      </c>
      <c r="F67" s="152" t="e">
        <f>Programm!F196</f>
        <v>#DIV/0!</v>
      </c>
      <c r="G67" s="152" t="e">
        <f>Programm!G196</f>
        <v>#DIV/0!</v>
      </c>
      <c r="H67" s="152" t="e">
        <f>Programm!H196</f>
        <v>#DIV/0!</v>
      </c>
      <c r="I67" s="152" t="e">
        <f>Programm!I196</f>
        <v>#DIV/0!</v>
      </c>
      <c r="J67" s="152" t="e">
        <f>Programm!J196</f>
        <v>#DIV/0!</v>
      </c>
      <c r="K67" s="152" t="e">
        <f>Programm!K196</f>
        <v>#DIV/0!</v>
      </c>
      <c r="L67" s="152" t="e">
        <f>Programm!L196</f>
        <v>#DIV/0!</v>
      </c>
      <c r="N67" s="160" t="e">
        <f>Programm!N196</f>
        <v>#DIV/0!</v>
      </c>
      <c r="O67" s="160" t="e">
        <f>Programm!O196</f>
        <v>#DIV/0!</v>
      </c>
      <c r="P67" s="160" t="e">
        <f>Programm!P196</f>
        <v>#DIV/0!</v>
      </c>
      <c r="Q67" s="160" t="e">
        <f>Programm!Q196</f>
        <v>#DIV/0!</v>
      </c>
      <c r="R67" s="160" t="e">
        <f>Programm!R196</f>
        <v>#DIV/0!</v>
      </c>
      <c r="S67" s="160" t="e">
        <f>Programm!S196</f>
        <v>#DIV/0!</v>
      </c>
      <c r="T67" s="160" t="e">
        <f>Programm!T196</f>
        <v>#DIV/0!</v>
      </c>
    </row>
    <row r="68" spans="1:20" s="152" customFormat="1" hidden="1" x14ac:dyDescent="0.2">
      <c r="A68" s="152">
        <f>Programm!A197</f>
        <v>0</v>
      </c>
      <c r="B68" s="159" t="str">
        <f>Programm!A58</f>
        <v>Übung 28</v>
      </c>
      <c r="C68" s="157">
        <f>Programm!B58</f>
        <v>0</v>
      </c>
      <c r="D68" s="155"/>
      <c r="E68" s="160" t="e">
        <f>Programm!EX58</f>
        <v>#DIV/0!</v>
      </c>
      <c r="F68" s="152" t="e">
        <f>Programm!F197</f>
        <v>#DIV/0!</v>
      </c>
      <c r="G68" s="152" t="e">
        <f>Programm!G197</f>
        <v>#DIV/0!</v>
      </c>
      <c r="H68" s="152" t="e">
        <f>Programm!H197</f>
        <v>#DIV/0!</v>
      </c>
      <c r="I68" s="152" t="e">
        <f>Programm!I197</f>
        <v>#DIV/0!</v>
      </c>
      <c r="J68" s="152" t="e">
        <f>Programm!J197</f>
        <v>#DIV/0!</v>
      </c>
      <c r="K68" s="152" t="e">
        <f>Programm!K197</f>
        <v>#DIV/0!</v>
      </c>
      <c r="L68" s="152" t="e">
        <f>Programm!L197</f>
        <v>#DIV/0!</v>
      </c>
      <c r="N68" s="160" t="e">
        <f>Programm!N197</f>
        <v>#DIV/0!</v>
      </c>
      <c r="O68" s="160" t="e">
        <f>Programm!O197</f>
        <v>#DIV/0!</v>
      </c>
      <c r="P68" s="160" t="e">
        <f>Programm!P197</f>
        <v>#DIV/0!</v>
      </c>
      <c r="Q68" s="160" t="e">
        <f>Programm!Q197</f>
        <v>#DIV/0!</v>
      </c>
      <c r="R68" s="160" t="e">
        <f>Programm!R197</f>
        <v>#DIV/0!</v>
      </c>
      <c r="S68" s="160" t="e">
        <f>Programm!S197</f>
        <v>#DIV/0!</v>
      </c>
      <c r="T68" s="160" t="e">
        <f>Programm!T197</f>
        <v>#DIV/0!</v>
      </c>
    </row>
    <row r="69" spans="1:20" s="152" customFormat="1" hidden="1" x14ac:dyDescent="0.2">
      <c r="A69" s="152">
        <f>Programm!A198</f>
        <v>0</v>
      </c>
      <c r="B69" s="156">
        <f>Programm!A59</f>
        <v>0</v>
      </c>
      <c r="C69" s="157">
        <f>Programm!B59</f>
        <v>0</v>
      </c>
      <c r="D69" s="155"/>
      <c r="E69" s="160" t="e">
        <f>Programm!EX59</f>
        <v>#DIV/0!</v>
      </c>
      <c r="F69" s="152" t="e">
        <f>Programm!F198</f>
        <v>#DIV/0!</v>
      </c>
      <c r="G69" s="152" t="e">
        <f>Programm!G198</f>
        <v>#DIV/0!</v>
      </c>
      <c r="H69" s="152" t="e">
        <f>Programm!H198</f>
        <v>#DIV/0!</v>
      </c>
      <c r="I69" s="152" t="e">
        <f>Programm!I198</f>
        <v>#DIV/0!</v>
      </c>
      <c r="J69" s="152" t="e">
        <f>Programm!J198</f>
        <v>#DIV/0!</v>
      </c>
      <c r="K69" s="152" t="e">
        <f>Programm!K198</f>
        <v>#DIV/0!</v>
      </c>
      <c r="L69" s="152" t="e">
        <f>Programm!L198</f>
        <v>#DIV/0!</v>
      </c>
      <c r="N69" s="160" t="e">
        <f>Programm!N198</f>
        <v>#DIV/0!</v>
      </c>
      <c r="O69" s="160" t="e">
        <f>Programm!O198</f>
        <v>#DIV/0!</v>
      </c>
      <c r="P69" s="160" t="e">
        <f>Programm!P198</f>
        <v>#DIV/0!</v>
      </c>
      <c r="Q69" s="160" t="e">
        <f>Programm!Q198</f>
        <v>#DIV/0!</v>
      </c>
      <c r="R69" s="160" t="e">
        <f>Programm!R198</f>
        <v>#DIV/0!</v>
      </c>
      <c r="S69" s="160" t="e">
        <f>Programm!S198</f>
        <v>#DIV/0!</v>
      </c>
      <c r="T69" s="160" t="e">
        <f>Programm!T198</f>
        <v>#DIV/0!</v>
      </c>
    </row>
    <row r="70" spans="1:20" s="152" customFormat="1" hidden="1" x14ac:dyDescent="0.2">
      <c r="A70" s="152">
        <f>Programm!A199</f>
        <v>0</v>
      </c>
      <c r="B70" s="159" t="str">
        <f>Programm!A60</f>
        <v>Übung 29</v>
      </c>
      <c r="C70" s="157">
        <f>Programm!B60</f>
        <v>0</v>
      </c>
      <c r="D70" s="155"/>
      <c r="E70" s="160" t="e">
        <f>Programm!EX60</f>
        <v>#DIV/0!</v>
      </c>
      <c r="F70" s="152" t="e">
        <f>Programm!F199</f>
        <v>#DIV/0!</v>
      </c>
      <c r="G70" s="152" t="e">
        <f>Programm!G199</f>
        <v>#DIV/0!</v>
      </c>
      <c r="H70" s="152" t="e">
        <f>Programm!H199</f>
        <v>#DIV/0!</v>
      </c>
      <c r="I70" s="152" t="e">
        <f>Programm!I199</f>
        <v>#DIV/0!</v>
      </c>
      <c r="J70" s="152" t="e">
        <f>Programm!J199</f>
        <v>#DIV/0!</v>
      </c>
      <c r="K70" s="152" t="e">
        <f>Programm!K199</f>
        <v>#DIV/0!</v>
      </c>
      <c r="L70" s="152" t="e">
        <f>Programm!L199</f>
        <v>#DIV/0!</v>
      </c>
      <c r="N70" s="160" t="e">
        <f>Programm!N199</f>
        <v>#DIV/0!</v>
      </c>
      <c r="O70" s="160" t="e">
        <f>Programm!O199</f>
        <v>#DIV/0!</v>
      </c>
      <c r="P70" s="160" t="e">
        <f>Programm!P199</f>
        <v>#DIV/0!</v>
      </c>
      <c r="Q70" s="160" t="e">
        <f>Programm!Q199</f>
        <v>#DIV/0!</v>
      </c>
      <c r="R70" s="160" t="e">
        <f>Programm!R199</f>
        <v>#DIV/0!</v>
      </c>
      <c r="S70" s="160" t="e">
        <f>Programm!S199</f>
        <v>#DIV/0!</v>
      </c>
      <c r="T70" s="160" t="e">
        <f>Programm!T199</f>
        <v>#DIV/0!</v>
      </c>
    </row>
    <row r="71" spans="1:20" s="152" customFormat="1" hidden="1" x14ac:dyDescent="0.2">
      <c r="A71" s="152">
        <f>Programm!A200</f>
        <v>0</v>
      </c>
      <c r="B71" s="159">
        <f>Programm!A61</f>
        <v>0</v>
      </c>
      <c r="C71" s="157">
        <f>Programm!B61</f>
        <v>0</v>
      </c>
      <c r="D71" s="155"/>
      <c r="E71" s="160" t="e">
        <f>Programm!EX61</f>
        <v>#DIV/0!</v>
      </c>
      <c r="F71" s="152" t="e">
        <f>Programm!F200</f>
        <v>#DIV/0!</v>
      </c>
      <c r="G71" s="152" t="e">
        <f>Programm!G200</f>
        <v>#DIV/0!</v>
      </c>
      <c r="H71" s="152" t="e">
        <f>Programm!H200</f>
        <v>#DIV/0!</v>
      </c>
      <c r="I71" s="152" t="e">
        <f>Programm!I200</f>
        <v>#DIV/0!</v>
      </c>
      <c r="J71" s="152" t="e">
        <f>Programm!J200</f>
        <v>#DIV/0!</v>
      </c>
      <c r="K71" s="152" t="e">
        <f>Programm!K200</f>
        <v>#DIV/0!</v>
      </c>
      <c r="L71" s="152" t="e">
        <f>Programm!L200</f>
        <v>#DIV/0!</v>
      </c>
      <c r="N71" s="160" t="e">
        <f>Programm!N200</f>
        <v>#DIV/0!</v>
      </c>
      <c r="O71" s="160" t="e">
        <f>Programm!O200</f>
        <v>#DIV/0!</v>
      </c>
      <c r="P71" s="160" t="e">
        <f>Programm!P200</f>
        <v>#DIV/0!</v>
      </c>
      <c r="Q71" s="160" t="e">
        <f>Programm!Q200</f>
        <v>#DIV/0!</v>
      </c>
      <c r="R71" s="160" t="e">
        <f>Programm!R200</f>
        <v>#DIV/0!</v>
      </c>
      <c r="S71" s="160" t="e">
        <f>Programm!S200</f>
        <v>#DIV/0!</v>
      </c>
      <c r="T71" s="160" t="e">
        <f>Programm!T200</f>
        <v>#DIV/0!</v>
      </c>
    </row>
    <row r="72" spans="1:20" s="152" customFormat="1" hidden="1" x14ac:dyDescent="0.2">
      <c r="A72" s="152">
        <f>Programm!A201</f>
        <v>0</v>
      </c>
      <c r="B72" s="159" t="str">
        <f>Programm!A62</f>
        <v>Übung 30</v>
      </c>
      <c r="C72" s="157">
        <f>Programm!B62</f>
        <v>0</v>
      </c>
      <c r="D72" s="155"/>
      <c r="E72" s="160" t="e">
        <f>Programm!EX62</f>
        <v>#DIV/0!</v>
      </c>
      <c r="F72" s="152" t="e">
        <f>Programm!F201</f>
        <v>#DIV/0!</v>
      </c>
      <c r="G72" s="152" t="e">
        <f>Programm!G201</f>
        <v>#DIV/0!</v>
      </c>
      <c r="H72" s="152" t="e">
        <f>Programm!H201</f>
        <v>#DIV/0!</v>
      </c>
      <c r="I72" s="152" t="e">
        <f>Programm!I201</f>
        <v>#DIV/0!</v>
      </c>
      <c r="J72" s="152" t="e">
        <f>Programm!J201</f>
        <v>#DIV/0!</v>
      </c>
      <c r="K72" s="152" t="e">
        <f>Programm!K201</f>
        <v>#DIV/0!</v>
      </c>
      <c r="L72" s="152" t="e">
        <f>Programm!L201</f>
        <v>#DIV/0!</v>
      </c>
      <c r="N72" s="160" t="e">
        <f>Programm!N201</f>
        <v>#DIV/0!</v>
      </c>
      <c r="O72" s="160" t="e">
        <f>Programm!O201</f>
        <v>#DIV/0!</v>
      </c>
      <c r="P72" s="160" t="e">
        <f>Programm!P201</f>
        <v>#DIV/0!</v>
      </c>
      <c r="Q72" s="160" t="e">
        <f>Programm!Q201</f>
        <v>#DIV/0!</v>
      </c>
      <c r="R72" s="160" t="e">
        <f>Programm!R201</f>
        <v>#DIV/0!</v>
      </c>
      <c r="S72" s="160" t="e">
        <f>Programm!S201</f>
        <v>#DIV/0!</v>
      </c>
      <c r="T72" s="160" t="e">
        <f>Programm!T201</f>
        <v>#DIV/0!</v>
      </c>
    </row>
  </sheetData>
  <sheetProtection selectLockedCells="1" selectUnlockedCells="1"/>
  <phoneticPr fontId="7" type="noConversion"/>
  <conditionalFormatting sqref="B14:B72">
    <cfRule type="cellIs" dxfId="1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441CA-B437-4BA8-9C5B-73053604A319}">
  <sheetPr codeName="Tabelle4" filterMode="1"/>
  <dimension ref="A5:T72"/>
  <sheetViews>
    <sheetView workbookViewId="0">
      <selection activeCell="E13" sqref="E13"/>
    </sheetView>
  </sheetViews>
  <sheetFormatPr baseColWidth="10" defaultRowHeight="12.75" x14ac:dyDescent="0.2"/>
  <cols>
    <col min="1" max="1" width="3.140625" style="153" bestFit="1" customWidth="1"/>
    <col min="2" max="4" width="11.42578125" style="153"/>
    <col min="5" max="12" width="7" style="153" bestFit="1" customWidth="1"/>
    <col min="13" max="13" width="11.42578125" style="153"/>
    <col min="14" max="20" width="7" style="153" bestFit="1" customWidth="1"/>
    <col min="21" max="16384" width="11.42578125" style="153"/>
  </cols>
  <sheetData>
    <row r="5" spans="1:20" x14ac:dyDescent="0.2">
      <c r="B5" s="154"/>
      <c r="C5" s="161"/>
      <c r="D5" s="161"/>
      <c r="E5" s="153" t="s">
        <v>37</v>
      </c>
    </row>
    <row r="6" spans="1:20" x14ac:dyDescent="0.2">
      <c r="A6" s="156"/>
      <c r="C6" s="161"/>
      <c r="D6" s="161"/>
      <c r="E6" s="166">
        <f>LARGE(E$14:E$72,1)</f>
        <v>0</v>
      </c>
    </row>
    <row r="7" spans="1:20" x14ac:dyDescent="0.2">
      <c r="B7" s="158"/>
      <c r="C7" s="161"/>
      <c r="D7" s="161"/>
      <c r="E7" s="166">
        <f>LARGE(E$14:E$72,2)</f>
        <v>0</v>
      </c>
    </row>
    <row r="8" spans="1:20" x14ac:dyDescent="0.2">
      <c r="B8" s="158"/>
      <c r="C8" s="161"/>
      <c r="D8" s="161"/>
      <c r="E8" s="166">
        <f>LARGE(E$14:E$72,3)</f>
        <v>0</v>
      </c>
    </row>
    <row r="9" spans="1:20" x14ac:dyDescent="0.2">
      <c r="B9" s="158"/>
      <c r="C9" s="161"/>
      <c r="D9" s="161"/>
      <c r="E9" s="166">
        <f>LARGE(E$14:E$72,4)</f>
        <v>0</v>
      </c>
    </row>
    <row r="10" spans="1:20" x14ac:dyDescent="0.2">
      <c r="B10" s="158"/>
      <c r="C10" s="161"/>
      <c r="D10" s="161"/>
      <c r="E10" s="166">
        <f>LARGE(E$14:E$72,5)</f>
        <v>0</v>
      </c>
    </row>
    <row r="11" spans="1:20" x14ac:dyDescent="0.2">
      <c r="B11" s="158"/>
      <c r="C11" s="161"/>
      <c r="D11" s="161"/>
      <c r="E11" s="166"/>
    </row>
    <row r="12" spans="1:20" x14ac:dyDescent="0.2">
      <c r="B12" s="158"/>
      <c r="C12" s="161"/>
      <c r="D12" s="161"/>
    </row>
    <row r="13" spans="1:20" ht="18" x14ac:dyDescent="0.2">
      <c r="A13" s="153" t="s">
        <v>38</v>
      </c>
      <c r="B13" s="153" t="s">
        <v>36</v>
      </c>
      <c r="C13" s="161"/>
      <c r="D13" s="161"/>
      <c r="E13" s="153" t="s">
        <v>37</v>
      </c>
      <c r="F13" s="163" t="s">
        <v>1</v>
      </c>
      <c r="G13" s="164" t="s">
        <v>2</v>
      </c>
      <c r="H13" s="163" t="s">
        <v>3</v>
      </c>
      <c r="I13" s="163">
        <v>0</v>
      </c>
      <c r="J13" s="165">
        <v>0.1</v>
      </c>
      <c r="K13" s="165">
        <v>0.5</v>
      </c>
      <c r="L13" s="165">
        <v>1</v>
      </c>
      <c r="N13" s="163" t="s">
        <v>1</v>
      </c>
      <c r="O13" s="164" t="s">
        <v>2</v>
      </c>
      <c r="P13" s="163" t="s">
        <v>3</v>
      </c>
      <c r="Q13" s="163">
        <v>0</v>
      </c>
      <c r="R13" s="165">
        <v>0.1</v>
      </c>
      <c r="S13" s="165">
        <v>0.5</v>
      </c>
      <c r="T13" s="165">
        <v>1</v>
      </c>
    </row>
    <row r="14" spans="1:20" x14ac:dyDescent="0.2">
      <c r="A14" s="153">
        <f>Programm!A143</f>
        <v>0</v>
      </c>
      <c r="B14" s="159" t="str">
        <f>Programm!A4</f>
        <v>Übung 1</v>
      </c>
      <c r="C14" s="161"/>
      <c r="D14" s="161"/>
      <c r="E14" s="166">
        <f>IF(A14=0,0,Programm!EX4)</f>
        <v>0</v>
      </c>
      <c r="F14" s="153" t="e">
        <f>Programm!F143</f>
        <v>#DIV/0!</v>
      </c>
      <c r="G14" s="153" t="e">
        <f>Programm!G143</f>
        <v>#DIV/0!</v>
      </c>
      <c r="H14" s="153" t="e">
        <f>Programm!H143</f>
        <v>#DIV/0!</v>
      </c>
      <c r="I14" s="153" t="e">
        <f>Programm!I143</f>
        <v>#DIV/0!</v>
      </c>
      <c r="J14" s="153" t="e">
        <f>Programm!J143</f>
        <v>#DIV/0!</v>
      </c>
      <c r="K14" s="153" t="e">
        <f>Programm!K143</f>
        <v>#DIV/0!</v>
      </c>
      <c r="L14" s="153" t="e">
        <f>Programm!L143</f>
        <v>#DIV/0!</v>
      </c>
      <c r="N14" s="166" t="e">
        <f>Programm!N143</f>
        <v>#DIV/0!</v>
      </c>
      <c r="O14" s="166" t="e">
        <f>Programm!O143</f>
        <v>#DIV/0!</v>
      </c>
      <c r="P14" s="166" t="e">
        <f>Programm!P143</f>
        <v>#DIV/0!</v>
      </c>
      <c r="Q14" s="166" t="e">
        <f>Programm!Q143</f>
        <v>#DIV/0!</v>
      </c>
      <c r="R14" s="166" t="e">
        <f>Programm!R143</f>
        <v>#DIV/0!</v>
      </c>
      <c r="S14" s="166" t="e">
        <f>Programm!S143</f>
        <v>#DIV/0!</v>
      </c>
      <c r="T14" s="166" t="e">
        <f>Programm!T143</f>
        <v>#DIV/0!</v>
      </c>
    </row>
    <row r="15" spans="1:20" s="152" customFormat="1" hidden="1" x14ac:dyDescent="0.2">
      <c r="A15" s="152">
        <f>Programm!A144</f>
        <v>0</v>
      </c>
      <c r="B15" s="159">
        <f>Programm!A5</f>
        <v>0</v>
      </c>
      <c r="C15" s="155"/>
      <c r="D15" s="155"/>
      <c r="E15" s="160">
        <f>IF(A15=0,0,Programm!EX5)</f>
        <v>0</v>
      </c>
      <c r="F15" s="152" t="e">
        <f>Programm!F144</f>
        <v>#DIV/0!</v>
      </c>
      <c r="G15" s="152" t="e">
        <f>Programm!G144</f>
        <v>#DIV/0!</v>
      </c>
      <c r="H15" s="152" t="e">
        <f>Programm!H144</f>
        <v>#DIV/0!</v>
      </c>
      <c r="I15" s="152" t="e">
        <f>Programm!I144</f>
        <v>#DIV/0!</v>
      </c>
      <c r="J15" s="152" t="e">
        <f>Programm!J144</f>
        <v>#DIV/0!</v>
      </c>
      <c r="K15" s="152" t="e">
        <f>Programm!K144</f>
        <v>#DIV/0!</v>
      </c>
      <c r="L15" s="152" t="e">
        <f>Programm!L144</f>
        <v>#DIV/0!</v>
      </c>
      <c r="N15" s="160" t="e">
        <f>Programm!N144</f>
        <v>#DIV/0!</v>
      </c>
      <c r="O15" s="160" t="e">
        <f>Programm!O144</f>
        <v>#DIV/0!</v>
      </c>
      <c r="P15" s="160" t="e">
        <f>Programm!P144</f>
        <v>#DIV/0!</v>
      </c>
      <c r="Q15" s="160" t="e">
        <f>Programm!Q144</f>
        <v>#DIV/0!</v>
      </c>
      <c r="R15" s="160" t="e">
        <f>Programm!R144</f>
        <v>#DIV/0!</v>
      </c>
      <c r="S15" s="160" t="e">
        <f>Programm!S144</f>
        <v>#DIV/0!</v>
      </c>
      <c r="T15" s="160" t="e">
        <f>Programm!T144</f>
        <v>#DIV/0!</v>
      </c>
    </row>
    <row r="16" spans="1:20" s="152" customFormat="1" hidden="1" x14ac:dyDescent="0.2">
      <c r="A16" s="152">
        <f>Programm!A145</f>
        <v>0</v>
      </c>
      <c r="B16" s="156" t="str">
        <f>Programm!A6</f>
        <v>Übung 2</v>
      </c>
      <c r="C16" s="155"/>
      <c r="D16" s="155"/>
      <c r="E16" s="160">
        <f>IF(A16=0,0,Programm!EX6)</f>
        <v>0</v>
      </c>
      <c r="F16" s="152" t="e">
        <f>Programm!F145</f>
        <v>#DIV/0!</v>
      </c>
      <c r="G16" s="152" t="e">
        <f>Programm!G145</f>
        <v>#DIV/0!</v>
      </c>
      <c r="H16" s="152" t="e">
        <f>Programm!H145</f>
        <v>#DIV/0!</v>
      </c>
      <c r="I16" s="152" t="e">
        <f>Programm!I145</f>
        <v>#DIV/0!</v>
      </c>
      <c r="J16" s="152" t="e">
        <f>Programm!J145</f>
        <v>#DIV/0!</v>
      </c>
      <c r="K16" s="152" t="e">
        <f>Programm!K145</f>
        <v>#DIV/0!</v>
      </c>
      <c r="L16" s="152" t="e">
        <f>Programm!L145</f>
        <v>#DIV/0!</v>
      </c>
      <c r="N16" s="160" t="e">
        <f>Programm!N145</f>
        <v>#DIV/0!</v>
      </c>
      <c r="O16" s="160" t="e">
        <f>Programm!O145</f>
        <v>#DIV/0!</v>
      </c>
      <c r="P16" s="160" t="e">
        <f>Programm!P145</f>
        <v>#DIV/0!</v>
      </c>
      <c r="Q16" s="160" t="e">
        <f>Programm!Q145</f>
        <v>#DIV/0!</v>
      </c>
      <c r="R16" s="160" t="e">
        <f>Programm!R145</f>
        <v>#DIV/0!</v>
      </c>
      <c r="S16" s="160" t="e">
        <f>Programm!S145</f>
        <v>#DIV/0!</v>
      </c>
      <c r="T16" s="160" t="e">
        <f>Programm!T145</f>
        <v>#DIV/0!</v>
      </c>
    </row>
    <row r="17" spans="1:20" s="152" customFormat="1" hidden="1" x14ac:dyDescent="0.2">
      <c r="A17" s="152">
        <f>Programm!A146</f>
        <v>0</v>
      </c>
      <c r="B17" s="156">
        <f>Programm!A7</f>
        <v>0</v>
      </c>
      <c r="C17" s="155"/>
      <c r="D17" s="155"/>
      <c r="E17" s="160">
        <f>IF(A17=0,0,Programm!EX7)</f>
        <v>0</v>
      </c>
      <c r="F17" s="152" t="e">
        <f>Programm!F146</f>
        <v>#DIV/0!</v>
      </c>
      <c r="G17" s="152" t="e">
        <f>Programm!G146</f>
        <v>#DIV/0!</v>
      </c>
      <c r="H17" s="152" t="e">
        <f>Programm!H146</f>
        <v>#DIV/0!</v>
      </c>
      <c r="I17" s="152" t="e">
        <f>Programm!I146</f>
        <v>#DIV/0!</v>
      </c>
      <c r="J17" s="152" t="e">
        <f>Programm!J146</f>
        <v>#DIV/0!</v>
      </c>
      <c r="K17" s="152" t="e">
        <f>Programm!K146</f>
        <v>#DIV/0!</v>
      </c>
      <c r="L17" s="152" t="e">
        <f>Programm!L146</f>
        <v>#DIV/0!</v>
      </c>
      <c r="N17" s="160" t="e">
        <f>Programm!N146</f>
        <v>#DIV/0!</v>
      </c>
      <c r="O17" s="160" t="e">
        <f>Programm!O146</f>
        <v>#DIV/0!</v>
      </c>
      <c r="P17" s="160" t="e">
        <f>Programm!P146</f>
        <v>#DIV/0!</v>
      </c>
      <c r="Q17" s="160" t="e">
        <f>Programm!Q146</f>
        <v>#DIV/0!</v>
      </c>
      <c r="R17" s="160" t="e">
        <f>Programm!R146</f>
        <v>#DIV/0!</v>
      </c>
      <c r="S17" s="160" t="e">
        <f>Programm!S146</f>
        <v>#DIV/0!</v>
      </c>
      <c r="T17" s="160" t="e">
        <f>Programm!T146</f>
        <v>#DIV/0!</v>
      </c>
    </row>
    <row r="18" spans="1:20" s="152" customFormat="1" hidden="1" x14ac:dyDescent="0.2">
      <c r="A18" s="152">
        <f>Programm!A147</f>
        <v>0</v>
      </c>
      <c r="B18" s="159" t="str">
        <f>Programm!A8</f>
        <v>Übung 3</v>
      </c>
      <c r="C18" s="155"/>
      <c r="D18" s="155"/>
      <c r="E18" s="160">
        <f>IF(A18=0,0,Programm!EX8)</f>
        <v>0</v>
      </c>
      <c r="F18" s="152" t="e">
        <f>Programm!F147</f>
        <v>#DIV/0!</v>
      </c>
      <c r="G18" s="152" t="e">
        <f>Programm!G147</f>
        <v>#DIV/0!</v>
      </c>
      <c r="H18" s="152" t="e">
        <f>Programm!H147</f>
        <v>#DIV/0!</v>
      </c>
      <c r="I18" s="152" t="e">
        <f>Programm!I147</f>
        <v>#DIV/0!</v>
      </c>
      <c r="J18" s="152" t="e">
        <f>Programm!J147</f>
        <v>#DIV/0!</v>
      </c>
      <c r="K18" s="152" t="e">
        <f>Programm!K147</f>
        <v>#DIV/0!</v>
      </c>
      <c r="L18" s="152" t="e">
        <f>Programm!L147</f>
        <v>#DIV/0!</v>
      </c>
      <c r="N18" s="160" t="e">
        <f>Programm!N147</f>
        <v>#DIV/0!</v>
      </c>
      <c r="O18" s="160" t="e">
        <f>Programm!O147</f>
        <v>#DIV/0!</v>
      </c>
      <c r="P18" s="160" t="e">
        <f>Programm!P147</f>
        <v>#DIV/0!</v>
      </c>
      <c r="Q18" s="160" t="e">
        <f>Programm!Q147</f>
        <v>#DIV/0!</v>
      </c>
      <c r="R18" s="160" t="e">
        <f>Programm!R147</f>
        <v>#DIV/0!</v>
      </c>
      <c r="S18" s="160" t="e">
        <f>Programm!S147</f>
        <v>#DIV/0!</v>
      </c>
      <c r="T18" s="160" t="e">
        <f>Programm!T147</f>
        <v>#DIV/0!</v>
      </c>
    </row>
    <row r="19" spans="1:20" s="152" customFormat="1" hidden="1" x14ac:dyDescent="0.2">
      <c r="A19" s="152">
        <f>Programm!A148</f>
        <v>0</v>
      </c>
      <c r="B19" s="159">
        <f>Programm!A9</f>
        <v>0</v>
      </c>
      <c r="C19" s="155"/>
      <c r="D19" s="155"/>
      <c r="E19" s="160">
        <f>IF(A19=0,0,Programm!EX9)</f>
        <v>0</v>
      </c>
      <c r="F19" s="152" t="e">
        <f>Programm!F148</f>
        <v>#DIV/0!</v>
      </c>
      <c r="G19" s="152" t="e">
        <f>Programm!G148</f>
        <v>#DIV/0!</v>
      </c>
      <c r="H19" s="152" t="e">
        <f>Programm!H148</f>
        <v>#DIV/0!</v>
      </c>
      <c r="I19" s="152" t="e">
        <f>Programm!I148</f>
        <v>#DIV/0!</v>
      </c>
      <c r="J19" s="152" t="e">
        <f>Programm!J148</f>
        <v>#DIV/0!</v>
      </c>
      <c r="K19" s="152" t="e">
        <f>Programm!K148</f>
        <v>#DIV/0!</v>
      </c>
      <c r="L19" s="152" t="e">
        <f>Programm!L148</f>
        <v>#DIV/0!</v>
      </c>
      <c r="N19" s="160" t="e">
        <f>Programm!N148</f>
        <v>#DIV/0!</v>
      </c>
      <c r="O19" s="160" t="e">
        <f>Programm!O148</f>
        <v>#DIV/0!</v>
      </c>
      <c r="P19" s="160" t="e">
        <f>Programm!P148</f>
        <v>#DIV/0!</v>
      </c>
      <c r="Q19" s="160" t="e">
        <f>Programm!Q148</f>
        <v>#DIV/0!</v>
      </c>
      <c r="R19" s="160" t="e">
        <f>Programm!R148</f>
        <v>#DIV/0!</v>
      </c>
      <c r="S19" s="160" t="e">
        <f>Programm!S148</f>
        <v>#DIV/0!</v>
      </c>
      <c r="T19" s="160" t="e">
        <f>Programm!T148</f>
        <v>#DIV/0!</v>
      </c>
    </row>
    <row r="20" spans="1:20" s="152" customFormat="1" hidden="1" x14ac:dyDescent="0.2">
      <c r="A20" s="152">
        <f>Programm!A149</f>
        <v>0</v>
      </c>
      <c r="B20" s="159" t="str">
        <f>Programm!A10</f>
        <v>Übung 4</v>
      </c>
      <c r="C20" s="155"/>
      <c r="D20" s="155"/>
      <c r="E20" s="160">
        <f>IF(A20=0,0,Programm!EX10)</f>
        <v>0</v>
      </c>
      <c r="F20" s="152" t="e">
        <f>Programm!F149</f>
        <v>#DIV/0!</v>
      </c>
      <c r="G20" s="152" t="e">
        <f>Programm!G149</f>
        <v>#DIV/0!</v>
      </c>
      <c r="H20" s="152" t="e">
        <f>Programm!H149</f>
        <v>#DIV/0!</v>
      </c>
      <c r="I20" s="152" t="e">
        <f>Programm!I149</f>
        <v>#DIV/0!</v>
      </c>
      <c r="J20" s="152" t="e">
        <f>Programm!J149</f>
        <v>#DIV/0!</v>
      </c>
      <c r="K20" s="152" t="e">
        <f>Programm!K149</f>
        <v>#DIV/0!</v>
      </c>
      <c r="L20" s="152" t="e">
        <f>Programm!L149</f>
        <v>#DIV/0!</v>
      </c>
      <c r="N20" s="160" t="e">
        <f>Programm!N149</f>
        <v>#DIV/0!</v>
      </c>
      <c r="O20" s="160" t="e">
        <f>Programm!O149</f>
        <v>#DIV/0!</v>
      </c>
      <c r="P20" s="160" t="e">
        <f>Programm!P149</f>
        <v>#DIV/0!</v>
      </c>
      <c r="Q20" s="160" t="e">
        <f>Programm!Q149</f>
        <v>#DIV/0!</v>
      </c>
      <c r="R20" s="160" t="e">
        <f>Programm!R149</f>
        <v>#DIV/0!</v>
      </c>
      <c r="S20" s="160" t="e">
        <f>Programm!S149</f>
        <v>#DIV/0!</v>
      </c>
      <c r="T20" s="160" t="e">
        <f>Programm!T149</f>
        <v>#DIV/0!</v>
      </c>
    </row>
    <row r="21" spans="1:20" s="152" customFormat="1" hidden="1" x14ac:dyDescent="0.2">
      <c r="A21" s="152">
        <f>Programm!A150</f>
        <v>0</v>
      </c>
      <c r="B21" s="159">
        <f>Programm!A11</f>
        <v>0</v>
      </c>
      <c r="C21" s="155"/>
      <c r="D21" s="155"/>
      <c r="E21" s="160">
        <f>IF(A21=0,0,Programm!EX11)</f>
        <v>0</v>
      </c>
      <c r="F21" s="152" t="e">
        <f>Programm!F150</f>
        <v>#DIV/0!</v>
      </c>
      <c r="G21" s="152" t="e">
        <f>Programm!G150</f>
        <v>#DIV/0!</v>
      </c>
      <c r="H21" s="152" t="e">
        <f>Programm!H150</f>
        <v>#DIV/0!</v>
      </c>
      <c r="I21" s="152" t="e">
        <f>Programm!I150</f>
        <v>#DIV/0!</v>
      </c>
      <c r="J21" s="152" t="e">
        <f>Programm!J150</f>
        <v>#DIV/0!</v>
      </c>
      <c r="K21" s="152" t="e">
        <f>Programm!K150</f>
        <v>#DIV/0!</v>
      </c>
      <c r="L21" s="152" t="e">
        <f>Programm!L150</f>
        <v>#DIV/0!</v>
      </c>
      <c r="N21" s="160" t="e">
        <f>Programm!N150</f>
        <v>#DIV/0!</v>
      </c>
      <c r="O21" s="160" t="e">
        <f>Programm!O150</f>
        <v>#DIV/0!</v>
      </c>
      <c r="P21" s="160" t="e">
        <f>Programm!P150</f>
        <v>#DIV/0!</v>
      </c>
      <c r="Q21" s="160" t="e">
        <f>Programm!Q150</f>
        <v>#DIV/0!</v>
      </c>
      <c r="R21" s="160" t="e">
        <f>Programm!R150</f>
        <v>#DIV/0!</v>
      </c>
      <c r="S21" s="160" t="e">
        <f>Programm!S150</f>
        <v>#DIV/0!</v>
      </c>
      <c r="T21" s="160" t="e">
        <f>Programm!T150</f>
        <v>#DIV/0!</v>
      </c>
    </row>
    <row r="22" spans="1:20" s="152" customFormat="1" hidden="1" x14ac:dyDescent="0.2">
      <c r="A22" s="152">
        <f>Programm!A151</f>
        <v>0</v>
      </c>
      <c r="B22" s="159" t="str">
        <f>Programm!A12</f>
        <v>Übung 5</v>
      </c>
      <c r="C22" s="155"/>
      <c r="D22" s="155"/>
      <c r="E22" s="160">
        <f>IF(A22=0,0,Programm!EX12)</f>
        <v>0</v>
      </c>
      <c r="F22" s="152" t="e">
        <f>Programm!F151</f>
        <v>#DIV/0!</v>
      </c>
      <c r="G22" s="152" t="e">
        <f>Programm!G151</f>
        <v>#DIV/0!</v>
      </c>
      <c r="H22" s="152" t="e">
        <f>Programm!H151</f>
        <v>#DIV/0!</v>
      </c>
      <c r="I22" s="152" t="e">
        <f>Programm!I151</f>
        <v>#DIV/0!</v>
      </c>
      <c r="J22" s="152" t="e">
        <f>Programm!J151</f>
        <v>#DIV/0!</v>
      </c>
      <c r="K22" s="152" t="e">
        <f>Programm!K151</f>
        <v>#DIV/0!</v>
      </c>
      <c r="L22" s="152" t="e">
        <f>Programm!L151</f>
        <v>#DIV/0!</v>
      </c>
      <c r="N22" s="160" t="e">
        <f>Programm!N151</f>
        <v>#DIV/0!</v>
      </c>
      <c r="O22" s="160" t="e">
        <f>Programm!O151</f>
        <v>#DIV/0!</v>
      </c>
      <c r="P22" s="160" t="e">
        <f>Programm!P151</f>
        <v>#DIV/0!</v>
      </c>
      <c r="Q22" s="160" t="e">
        <f>Programm!Q151</f>
        <v>#DIV/0!</v>
      </c>
      <c r="R22" s="160" t="e">
        <f>Programm!R151</f>
        <v>#DIV/0!</v>
      </c>
      <c r="S22" s="160" t="e">
        <f>Programm!S151</f>
        <v>#DIV/0!</v>
      </c>
      <c r="T22" s="160" t="e">
        <f>Programm!T151</f>
        <v>#DIV/0!</v>
      </c>
    </row>
    <row r="23" spans="1:20" s="152" customFormat="1" hidden="1" x14ac:dyDescent="0.2">
      <c r="A23" s="152">
        <f>Programm!A152</f>
        <v>0</v>
      </c>
      <c r="B23" s="159">
        <f>Programm!A13</f>
        <v>0</v>
      </c>
      <c r="C23" s="155"/>
      <c r="D23" s="155"/>
      <c r="E23" s="160">
        <f>IF(A23=0,0,Programm!EX13)</f>
        <v>0</v>
      </c>
      <c r="F23" s="152" t="e">
        <f>Programm!F152</f>
        <v>#DIV/0!</v>
      </c>
      <c r="G23" s="152" t="e">
        <f>Programm!G152</f>
        <v>#DIV/0!</v>
      </c>
      <c r="H23" s="152" t="e">
        <f>Programm!H152</f>
        <v>#DIV/0!</v>
      </c>
      <c r="I23" s="152" t="e">
        <f>Programm!I152</f>
        <v>#DIV/0!</v>
      </c>
      <c r="J23" s="152" t="e">
        <f>Programm!J152</f>
        <v>#DIV/0!</v>
      </c>
      <c r="K23" s="152" t="e">
        <f>Programm!K152</f>
        <v>#DIV/0!</v>
      </c>
      <c r="L23" s="152" t="e">
        <f>Programm!L152</f>
        <v>#DIV/0!</v>
      </c>
      <c r="N23" s="160" t="e">
        <f>Programm!N152</f>
        <v>#DIV/0!</v>
      </c>
      <c r="O23" s="160" t="e">
        <f>Programm!O152</f>
        <v>#DIV/0!</v>
      </c>
      <c r="P23" s="160" t="e">
        <f>Programm!P152</f>
        <v>#DIV/0!</v>
      </c>
      <c r="Q23" s="160" t="e">
        <f>Programm!Q152</f>
        <v>#DIV/0!</v>
      </c>
      <c r="R23" s="160" t="e">
        <f>Programm!R152</f>
        <v>#DIV/0!</v>
      </c>
      <c r="S23" s="160" t="e">
        <f>Programm!S152</f>
        <v>#DIV/0!</v>
      </c>
      <c r="T23" s="160" t="e">
        <f>Programm!T152</f>
        <v>#DIV/0!</v>
      </c>
    </row>
    <row r="24" spans="1:20" s="152" customFormat="1" hidden="1" x14ac:dyDescent="0.2">
      <c r="A24" s="152">
        <f>Programm!A153</f>
        <v>0</v>
      </c>
      <c r="B24" s="159" t="str">
        <f>Programm!A14</f>
        <v>Übung 6</v>
      </c>
      <c r="C24" s="155"/>
      <c r="D24" s="155"/>
      <c r="E24" s="160">
        <f>IF(A24=0,0,Programm!EX14)</f>
        <v>0</v>
      </c>
      <c r="F24" s="152" t="e">
        <f>Programm!F153</f>
        <v>#DIV/0!</v>
      </c>
      <c r="G24" s="152" t="e">
        <f>Programm!G153</f>
        <v>#DIV/0!</v>
      </c>
      <c r="H24" s="152" t="e">
        <f>Programm!H153</f>
        <v>#DIV/0!</v>
      </c>
      <c r="I24" s="152" t="e">
        <f>Programm!I153</f>
        <v>#DIV/0!</v>
      </c>
      <c r="J24" s="152" t="e">
        <f>Programm!J153</f>
        <v>#DIV/0!</v>
      </c>
      <c r="K24" s="152" t="e">
        <f>Programm!K153</f>
        <v>#DIV/0!</v>
      </c>
      <c r="L24" s="152" t="e">
        <f>Programm!L153</f>
        <v>#DIV/0!</v>
      </c>
      <c r="N24" s="160" t="e">
        <f>Programm!N153</f>
        <v>#DIV/0!</v>
      </c>
      <c r="O24" s="160" t="e">
        <f>Programm!O153</f>
        <v>#DIV/0!</v>
      </c>
      <c r="P24" s="160" t="e">
        <f>Programm!P153</f>
        <v>#DIV/0!</v>
      </c>
      <c r="Q24" s="160" t="e">
        <f>Programm!Q153</f>
        <v>#DIV/0!</v>
      </c>
      <c r="R24" s="160" t="e">
        <f>Programm!R153</f>
        <v>#DIV/0!</v>
      </c>
      <c r="S24" s="160" t="e">
        <f>Programm!S153</f>
        <v>#DIV/0!</v>
      </c>
      <c r="T24" s="160" t="e">
        <f>Programm!T153</f>
        <v>#DIV/0!</v>
      </c>
    </row>
    <row r="25" spans="1:20" s="152" customFormat="1" hidden="1" x14ac:dyDescent="0.2">
      <c r="A25" s="152">
        <f>Programm!A154</f>
        <v>0</v>
      </c>
      <c r="B25" s="159">
        <f>Programm!A15</f>
        <v>0</v>
      </c>
      <c r="C25" s="155"/>
      <c r="D25" s="155"/>
      <c r="E25" s="160">
        <f>IF(A25=0,0,Programm!EX15)</f>
        <v>0</v>
      </c>
      <c r="F25" s="152" t="e">
        <f>Programm!F154</f>
        <v>#DIV/0!</v>
      </c>
      <c r="G25" s="152" t="e">
        <f>Programm!G154</f>
        <v>#DIV/0!</v>
      </c>
      <c r="H25" s="152" t="e">
        <f>Programm!H154</f>
        <v>#DIV/0!</v>
      </c>
      <c r="I25" s="152" t="e">
        <f>Programm!I154</f>
        <v>#DIV/0!</v>
      </c>
      <c r="J25" s="152" t="e">
        <f>Programm!J154</f>
        <v>#DIV/0!</v>
      </c>
      <c r="K25" s="152" t="e">
        <f>Programm!K154</f>
        <v>#DIV/0!</v>
      </c>
      <c r="L25" s="152" t="e">
        <f>Programm!L154</f>
        <v>#DIV/0!</v>
      </c>
      <c r="N25" s="160" t="e">
        <f>Programm!N154</f>
        <v>#DIV/0!</v>
      </c>
      <c r="O25" s="160" t="e">
        <f>Programm!O154</f>
        <v>#DIV/0!</v>
      </c>
      <c r="P25" s="160" t="e">
        <f>Programm!P154</f>
        <v>#DIV/0!</v>
      </c>
      <c r="Q25" s="160" t="e">
        <f>Programm!Q154</f>
        <v>#DIV/0!</v>
      </c>
      <c r="R25" s="160" t="e">
        <f>Programm!R154</f>
        <v>#DIV/0!</v>
      </c>
      <c r="S25" s="160" t="e">
        <f>Programm!S154</f>
        <v>#DIV/0!</v>
      </c>
      <c r="T25" s="160" t="e">
        <f>Programm!T154</f>
        <v>#DIV/0!</v>
      </c>
    </row>
    <row r="26" spans="1:20" s="152" customFormat="1" hidden="1" x14ac:dyDescent="0.2">
      <c r="A26" s="152">
        <f>Programm!A155</f>
        <v>0</v>
      </c>
      <c r="B26" s="159" t="str">
        <f>Programm!A16</f>
        <v>Übung 7</v>
      </c>
      <c r="C26" s="155"/>
      <c r="D26" s="155"/>
      <c r="E26" s="160">
        <f>IF(A26=0,0,Programm!EX16)</f>
        <v>0</v>
      </c>
      <c r="F26" s="152" t="e">
        <f>Programm!F155</f>
        <v>#DIV/0!</v>
      </c>
      <c r="G26" s="152" t="e">
        <f>Programm!G155</f>
        <v>#DIV/0!</v>
      </c>
      <c r="H26" s="152" t="e">
        <f>Programm!H155</f>
        <v>#DIV/0!</v>
      </c>
      <c r="I26" s="152" t="e">
        <f>Programm!I155</f>
        <v>#DIV/0!</v>
      </c>
      <c r="J26" s="152" t="e">
        <f>Programm!J155</f>
        <v>#DIV/0!</v>
      </c>
      <c r="K26" s="152" t="e">
        <f>Programm!K155</f>
        <v>#DIV/0!</v>
      </c>
      <c r="L26" s="152" t="e">
        <f>Programm!L155</f>
        <v>#DIV/0!</v>
      </c>
      <c r="N26" s="160" t="e">
        <f>Programm!N155</f>
        <v>#DIV/0!</v>
      </c>
      <c r="O26" s="160" t="e">
        <f>Programm!O155</f>
        <v>#DIV/0!</v>
      </c>
      <c r="P26" s="160" t="e">
        <f>Programm!P155</f>
        <v>#DIV/0!</v>
      </c>
      <c r="Q26" s="160" t="e">
        <f>Programm!Q155</f>
        <v>#DIV/0!</v>
      </c>
      <c r="R26" s="160" t="e">
        <f>Programm!R155</f>
        <v>#DIV/0!</v>
      </c>
      <c r="S26" s="160" t="e">
        <f>Programm!S155</f>
        <v>#DIV/0!</v>
      </c>
      <c r="T26" s="160" t="e">
        <f>Programm!T155</f>
        <v>#DIV/0!</v>
      </c>
    </row>
    <row r="27" spans="1:20" s="152" customFormat="1" hidden="1" x14ac:dyDescent="0.2">
      <c r="A27" s="152">
        <f>Programm!A156</f>
        <v>0</v>
      </c>
      <c r="B27" s="159">
        <f>Programm!A17</f>
        <v>0</v>
      </c>
      <c r="C27" s="155"/>
      <c r="D27" s="155"/>
      <c r="E27" s="160">
        <f>IF(A27=0,0,Programm!EX17)</f>
        <v>0</v>
      </c>
      <c r="F27" s="152" t="e">
        <f>Programm!F156</f>
        <v>#DIV/0!</v>
      </c>
      <c r="G27" s="152" t="e">
        <f>Programm!G156</f>
        <v>#DIV/0!</v>
      </c>
      <c r="H27" s="152" t="e">
        <f>Programm!H156</f>
        <v>#DIV/0!</v>
      </c>
      <c r="I27" s="152" t="e">
        <f>Programm!I156</f>
        <v>#DIV/0!</v>
      </c>
      <c r="J27" s="152" t="e">
        <f>Programm!J156</f>
        <v>#DIV/0!</v>
      </c>
      <c r="K27" s="152" t="e">
        <f>Programm!K156</f>
        <v>#DIV/0!</v>
      </c>
      <c r="L27" s="152" t="e">
        <f>Programm!L156</f>
        <v>#DIV/0!</v>
      </c>
      <c r="N27" s="160" t="e">
        <f>Programm!N156</f>
        <v>#DIV/0!</v>
      </c>
      <c r="O27" s="160" t="e">
        <f>Programm!O156</f>
        <v>#DIV/0!</v>
      </c>
      <c r="P27" s="160" t="e">
        <f>Programm!P156</f>
        <v>#DIV/0!</v>
      </c>
      <c r="Q27" s="160" t="e">
        <f>Programm!Q156</f>
        <v>#DIV/0!</v>
      </c>
      <c r="R27" s="160" t="e">
        <f>Programm!R156</f>
        <v>#DIV/0!</v>
      </c>
      <c r="S27" s="160" t="e">
        <f>Programm!S156</f>
        <v>#DIV/0!</v>
      </c>
      <c r="T27" s="160" t="e">
        <f>Programm!T156</f>
        <v>#DIV/0!</v>
      </c>
    </row>
    <row r="28" spans="1:20" x14ac:dyDescent="0.2">
      <c r="A28" s="153">
        <f>Programm!A157</f>
        <v>0</v>
      </c>
      <c r="B28" s="159" t="str">
        <f>Programm!A18</f>
        <v>Übung 8</v>
      </c>
      <c r="C28" s="161"/>
      <c r="D28" s="161"/>
      <c r="E28" s="166">
        <f>IF(A28=0,0,Programm!EX18)</f>
        <v>0</v>
      </c>
      <c r="F28" s="153" t="e">
        <f>Programm!F157</f>
        <v>#DIV/0!</v>
      </c>
      <c r="G28" s="153" t="e">
        <f>Programm!G157</f>
        <v>#DIV/0!</v>
      </c>
      <c r="H28" s="153" t="e">
        <f>Programm!H157</f>
        <v>#DIV/0!</v>
      </c>
      <c r="I28" s="153" t="e">
        <f>Programm!I157</f>
        <v>#DIV/0!</v>
      </c>
      <c r="J28" s="153" t="e">
        <f>Programm!J157</f>
        <v>#DIV/0!</v>
      </c>
      <c r="K28" s="153" t="e">
        <f>Programm!K157</f>
        <v>#DIV/0!</v>
      </c>
      <c r="L28" s="153" t="e">
        <f>Programm!L157</f>
        <v>#DIV/0!</v>
      </c>
      <c r="N28" s="166" t="e">
        <f>Programm!N157</f>
        <v>#DIV/0!</v>
      </c>
      <c r="O28" s="166" t="e">
        <f>Programm!O157</f>
        <v>#DIV/0!</v>
      </c>
      <c r="P28" s="166" t="e">
        <f>Programm!P157</f>
        <v>#DIV/0!</v>
      </c>
      <c r="Q28" s="166" t="e">
        <f>Programm!Q157</f>
        <v>#DIV/0!</v>
      </c>
      <c r="R28" s="166" t="e">
        <f>Programm!R157</f>
        <v>#DIV/0!</v>
      </c>
      <c r="S28" s="166" t="e">
        <f>Programm!S157</f>
        <v>#DIV/0!</v>
      </c>
      <c r="T28" s="166" t="e">
        <f>Programm!T157</f>
        <v>#DIV/0!</v>
      </c>
    </row>
    <row r="29" spans="1:20" s="152" customFormat="1" hidden="1" x14ac:dyDescent="0.2">
      <c r="A29" s="152">
        <f>Programm!A158</f>
        <v>0</v>
      </c>
      <c r="B29" s="159">
        <f>Programm!A19</f>
        <v>0</v>
      </c>
      <c r="C29" s="155"/>
      <c r="D29" s="155"/>
      <c r="E29" s="160">
        <f>IF(A29=0,0,Programm!EX19)</f>
        <v>0</v>
      </c>
      <c r="F29" s="152" t="e">
        <f>Programm!F158</f>
        <v>#DIV/0!</v>
      </c>
      <c r="G29" s="152" t="e">
        <f>Programm!G158</f>
        <v>#DIV/0!</v>
      </c>
      <c r="H29" s="152" t="e">
        <f>Programm!H158</f>
        <v>#DIV/0!</v>
      </c>
      <c r="I29" s="152" t="e">
        <f>Programm!I158</f>
        <v>#DIV/0!</v>
      </c>
      <c r="J29" s="152" t="e">
        <f>Programm!J158</f>
        <v>#DIV/0!</v>
      </c>
      <c r="K29" s="152" t="e">
        <f>Programm!K158</f>
        <v>#DIV/0!</v>
      </c>
      <c r="L29" s="152" t="e">
        <f>Programm!L158</f>
        <v>#DIV/0!</v>
      </c>
      <c r="N29" s="160" t="e">
        <f>Programm!N158</f>
        <v>#DIV/0!</v>
      </c>
      <c r="O29" s="160" t="e">
        <f>Programm!O158</f>
        <v>#DIV/0!</v>
      </c>
      <c r="P29" s="160" t="e">
        <f>Programm!P158</f>
        <v>#DIV/0!</v>
      </c>
      <c r="Q29" s="160" t="e">
        <f>Programm!Q158</f>
        <v>#DIV/0!</v>
      </c>
      <c r="R29" s="160" t="e">
        <f>Programm!R158</f>
        <v>#DIV/0!</v>
      </c>
      <c r="S29" s="160" t="e">
        <f>Programm!S158</f>
        <v>#DIV/0!</v>
      </c>
      <c r="T29" s="160" t="e">
        <f>Programm!T158</f>
        <v>#DIV/0!</v>
      </c>
    </row>
    <row r="30" spans="1:20" s="152" customFormat="1" hidden="1" x14ac:dyDescent="0.2">
      <c r="A30" s="152">
        <f>Programm!A159</f>
        <v>0</v>
      </c>
      <c r="B30" s="159" t="str">
        <f>Programm!A20</f>
        <v>Übung 9</v>
      </c>
      <c r="C30" s="155"/>
      <c r="D30" s="155"/>
      <c r="E30" s="160">
        <f>IF(A30=0,0,Programm!EX20)</f>
        <v>0</v>
      </c>
      <c r="F30" s="152" t="e">
        <f>Programm!F159</f>
        <v>#DIV/0!</v>
      </c>
      <c r="G30" s="152" t="e">
        <f>Programm!G159</f>
        <v>#DIV/0!</v>
      </c>
      <c r="H30" s="152" t="e">
        <f>Programm!H159</f>
        <v>#DIV/0!</v>
      </c>
      <c r="I30" s="152" t="e">
        <f>Programm!I159</f>
        <v>#DIV/0!</v>
      </c>
      <c r="J30" s="152" t="e">
        <f>Programm!J159</f>
        <v>#DIV/0!</v>
      </c>
      <c r="K30" s="152" t="e">
        <f>Programm!K159</f>
        <v>#DIV/0!</v>
      </c>
      <c r="L30" s="152" t="e">
        <f>Programm!L159</f>
        <v>#DIV/0!</v>
      </c>
      <c r="N30" s="160" t="e">
        <f>Programm!N159</f>
        <v>#DIV/0!</v>
      </c>
      <c r="O30" s="160" t="e">
        <f>Programm!O159</f>
        <v>#DIV/0!</v>
      </c>
      <c r="P30" s="160" t="e">
        <f>Programm!P159</f>
        <v>#DIV/0!</v>
      </c>
      <c r="Q30" s="160" t="e">
        <f>Programm!Q159</f>
        <v>#DIV/0!</v>
      </c>
      <c r="R30" s="160" t="e">
        <f>Programm!R159</f>
        <v>#DIV/0!</v>
      </c>
      <c r="S30" s="160" t="e">
        <f>Programm!S159</f>
        <v>#DIV/0!</v>
      </c>
      <c r="T30" s="160" t="e">
        <f>Programm!T159</f>
        <v>#DIV/0!</v>
      </c>
    </row>
    <row r="31" spans="1:20" s="152" customFormat="1" hidden="1" x14ac:dyDescent="0.2">
      <c r="A31" s="152">
        <f>Programm!A160</f>
        <v>0</v>
      </c>
      <c r="B31" s="159">
        <f>Programm!A21</f>
        <v>0</v>
      </c>
      <c r="C31" s="155"/>
      <c r="D31" s="155"/>
      <c r="E31" s="160">
        <f>IF(A31=0,0,Programm!EX21)</f>
        <v>0</v>
      </c>
      <c r="F31" s="152" t="e">
        <f>Programm!F160</f>
        <v>#DIV/0!</v>
      </c>
      <c r="G31" s="152" t="e">
        <f>Programm!G160</f>
        <v>#DIV/0!</v>
      </c>
      <c r="H31" s="152" t="e">
        <f>Programm!H160</f>
        <v>#DIV/0!</v>
      </c>
      <c r="I31" s="152" t="e">
        <f>Programm!I160</f>
        <v>#DIV/0!</v>
      </c>
      <c r="J31" s="152" t="e">
        <f>Programm!J160</f>
        <v>#DIV/0!</v>
      </c>
      <c r="K31" s="152" t="e">
        <f>Programm!K160</f>
        <v>#DIV/0!</v>
      </c>
      <c r="L31" s="152" t="e">
        <f>Programm!L160</f>
        <v>#DIV/0!</v>
      </c>
      <c r="N31" s="160" t="e">
        <f>Programm!N160</f>
        <v>#DIV/0!</v>
      </c>
      <c r="O31" s="160" t="e">
        <f>Programm!O160</f>
        <v>#DIV/0!</v>
      </c>
      <c r="P31" s="160" t="e">
        <f>Programm!P160</f>
        <v>#DIV/0!</v>
      </c>
      <c r="Q31" s="160" t="e">
        <f>Programm!Q160</f>
        <v>#DIV/0!</v>
      </c>
      <c r="R31" s="160" t="e">
        <f>Programm!R160</f>
        <v>#DIV/0!</v>
      </c>
      <c r="S31" s="160" t="e">
        <f>Programm!S160</f>
        <v>#DIV/0!</v>
      </c>
      <c r="T31" s="160" t="e">
        <f>Programm!T160</f>
        <v>#DIV/0!</v>
      </c>
    </row>
    <row r="32" spans="1:20" s="152" customFormat="1" hidden="1" x14ac:dyDescent="0.2">
      <c r="A32" s="152">
        <f>Programm!A161</f>
        <v>0</v>
      </c>
      <c r="B32" s="159" t="str">
        <f>Programm!A22</f>
        <v>Übung 10</v>
      </c>
      <c r="C32" s="155"/>
      <c r="D32" s="155"/>
      <c r="E32" s="160">
        <f>IF(A32=0,0,Programm!EX22)</f>
        <v>0</v>
      </c>
      <c r="F32" s="152" t="e">
        <f>Programm!F161</f>
        <v>#DIV/0!</v>
      </c>
      <c r="G32" s="152" t="e">
        <f>Programm!G161</f>
        <v>#DIV/0!</v>
      </c>
      <c r="H32" s="152" t="e">
        <f>Programm!H161</f>
        <v>#DIV/0!</v>
      </c>
      <c r="I32" s="152" t="e">
        <f>Programm!I161</f>
        <v>#DIV/0!</v>
      </c>
      <c r="J32" s="152" t="e">
        <f>Programm!J161</f>
        <v>#DIV/0!</v>
      </c>
      <c r="K32" s="152" t="e">
        <f>Programm!K161</f>
        <v>#DIV/0!</v>
      </c>
      <c r="L32" s="152" t="e">
        <f>Programm!L161</f>
        <v>#DIV/0!</v>
      </c>
      <c r="N32" s="160" t="e">
        <f>Programm!N161</f>
        <v>#DIV/0!</v>
      </c>
      <c r="O32" s="160" t="e">
        <f>Programm!O161</f>
        <v>#DIV/0!</v>
      </c>
      <c r="P32" s="160" t="e">
        <f>Programm!P161</f>
        <v>#DIV/0!</v>
      </c>
      <c r="Q32" s="160" t="e">
        <f>Programm!Q161</f>
        <v>#DIV/0!</v>
      </c>
      <c r="R32" s="160" t="e">
        <f>Programm!R161</f>
        <v>#DIV/0!</v>
      </c>
      <c r="S32" s="160" t="e">
        <f>Programm!S161</f>
        <v>#DIV/0!</v>
      </c>
      <c r="T32" s="160" t="e">
        <f>Programm!T161</f>
        <v>#DIV/0!</v>
      </c>
    </row>
    <row r="33" spans="1:20" s="152" customFormat="1" hidden="1" x14ac:dyDescent="0.2">
      <c r="A33" s="152">
        <f>Programm!A162</f>
        <v>0</v>
      </c>
      <c r="B33" s="159">
        <f>Programm!A23</f>
        <v>0</v>
      </c>
      <c r="C33" s="155"/>
      <c r="D33" s="155"/>
      <c r="E33" s="160">
        <f>IF(A33=0,0,Programm!EX23)</f>
        <v>0</v>
      </c>
      <c r="F33" s="152" t="e">
        <f>Programm!F162</f>
        <v>#DIV/0!</v>
      </c>
      <c r="G33" s="152" t="e">
        <f>Programm!G162</f>
        <v>#DIV/0!</v>
      </c>
      <c r="H33" s="152" t="e">
        <f>Programm!H162</f>
        <v>#DIV/0!</v>
      </c>
      <c r="I33" s="152" t="e">
        <f>Programm!I162</f>
        <v>#DIV/0!</v>
      </c>
      <c r="J33" s="152" t="e">
        <f>Programm!J162</f>
        <v>#DIV/0!</v>
      </c>
      <c r="K33" s="152" t="e">
        <f>Programm!K162</f>
        <v>#DIV/0!</v>
      </c>
      <c r="L33" s="152" t="e">
        <f>Programm!L162</f>
        <v>#DIV/0!</v>
      </c>
      <c r="N33" s="160" t="e">
        <f>Programm!N162</f>
        <v>#DIV/0!</v>
      </c>
      <c r="O33" s="160" t="e">
        <f>Programm!O162</f>
        <v>#DIV/0!</v>
      </c>
      <c r="P33" s="160" t="e">
        <f>Programm!P162</f>
        <v>#DIV/0!</v>
      </c>
      <c r="Q33" s="160" t="e">
        <f>Programm!Q162</f>
        <v>#DIV/0!</v>
      </c>
      <c r="R33" s="160" t="e">
        <f>Programm!R162</f>
        <v>#DIV/0!</v>
      </c>
      <c r="S33" s="160" t="e">
        <f>Programm!S162</f>
        <v>#DIV/0!</v>
      </c>
      <c r="T33" s="160" t="e">
        <f>Programm!T162</f>
        <v>#DIV/0!</v>
      </c>
    </row>
    <row r="34" spans="1:20" s="152" customFormat="1" hidden="1" x14ac:dyDescent="0.2">
      <c r="A34" s="152">
        <f>Programm!A163</f>
        <v>0</v>
      </c>
      <c r="B34" s="159" t="str">
        <f>Programm!A24</f>
        <v>Übung 11</v>
      </c>
      <c r="C34" s="155"/>
      <c r="D34" s="155"/>
      <c r="E34" s="160">
        <f>IF(A34=0,0,Programm!EX24)</f>
        <v>0</v>
      </c>
      <c r="F34" s="152" t="e">
        <f>Programm!F163</f>
        <v>#DIV/0!</v>
      </c>
      <c r="G34" s="152" t="e">
        <f>Programm!G163</f>
        <v>#DIV/0!</v>
      </c>
      <c r="H34" s="152" t="e">
        <f>Programm!H163</f>
        <v>#DIV/0!</v>
      </c>
      <c r="I34" s="152" t="e">
        <f>Programm!I163</f>
        <v>#DIV/0!</v>
      </c>
      <c r="J34" s="152" t="e">
        <f>Programm!J163</f>
        <v>#DIV/0!</v>
      </c>
      <c r="K34" s="152" t="e">
        <f>Programm!K163</f>
        <v>#DIV/0!</v>
      </c>
      <c r="L34" s="152" t="e">
        <f>Programm!L163</f>
        <v>#DIV/0!</v>
      </c>
      <c r="N34" s="160" t="e">
        <f>Programm!N163</f>
        <v>#DIV/0!</v>
      </c>
      <c r="O34" s="160" t="e">
        <f>Programm!O163</f>
        <v>#DIV/0!</v>
      </c>
      <c r="P34" s="160" t="e">
        <f>Programm!P163</f>
        <v>#DIV/0!</v>
      </c>
      <c r="Q34" s="160" t="e">
        <f>Programm!Q163</f>
        <v>#DIV/0!</v>
      </c>
      <c r="R34" s="160" t="e">
        <f>Programm!R163</f>
        <v>#DIV/0!</v>
      </c>
      <c r="S34" s="160" t="e">
        <f>Programm!S163</f>
        <v>#DIV/0!</v>
      </c>
      <c r="T34" s="160" t="e">
        <f>Programm!T163</f>
        <v>#DIV/0!</v>
      </c>
    </row>
    <row r="35" spans="1:20" s="152" customFormat="1" hidden="1" x14ac:dyDescent="0.2">
      <c r="A35" s="152">
        <f>Programm!A164</f>
        <v>0</v>
      </c>
      <c r="B35" s="159">
        <f>Programm!A25</f>
        <v>0</v>
      </c>
      <c r="C35" s="155"/>
      <c r="D35" s="155"/>
      <c r="E35" s="160">
        <f>IF(A35=0,0,Programm!EX25)</f>
        <v>0</v>
      </c>
      <c r="F35" s="152" t="e">
        <f>Programm!F164</f>
        <v>#DIV/0!</v>
      </c>
      <c r="G35" s="152" t="e">
        <f>Programm!G164</f>
        <v>#DIV/0!</v>
      </c>
      <c r="H35" s="152" t="e">
        <f>Programm!H164</f>
        <v>#DIV/0!</v>
      </c>
      <c r="I35" s="152" t="e">
        <f>Programm!I164</f>
        <v>#DIV/0!</v>
      </c>
      <c r="J35" s="152" t="e">
        <f>Programm!J164</f>
        <v>#DIV/0!</v>
      </c>
      <c r="K35" s="152" t="e">
        <f>Programm!K164</f>
        <v>#DIV/0!</v>
      </c>
      <c r="L35" s="152" t="e">
        <f>Programm!L164</f>
        <v>#DIV/0!</v>
      </c>
      <c r="N35" s="160" t="e">
        <f>Programm!N164</f>
        <v>#DIV/0!</v>
      </c>
      <c r="O35" s="160" t="e">
        <f>Programm!O164</f>
        <v>#DIV/0!</v>
      </c>
      <c r="P35" s="160" t="e">
        <f>Programm!P164</f>
        <v>#DIV/0!</v>
      </c>
      <c r="Q35" s="160" t="e">
        <f>Programm!Q164</f>
        <v>#DIV/0!</v>
      </c>
      <c r="R35" s="160" t="e">
        <f>Programm!R164</f>
        <v>#DIV/0!</v>
      </c>
      <c r="S35" s="160" t="e">
        <f>Programm!S164</f>
        <v>#DIV/0!</v>
      </c>
      <c r="T35" s="160" t="e">
        <f>Programm!T164</f>
        <v>#DIV/0!</v>
      </c>
    </row>
    <row r="36" spans="1:20" s="152" customFormat="1" hidden="1" x14ac:dyDescent="0.2">
      <c r="A36" s="152">
        <f>Programm!A165</f>
        <v>0</v>
      </c>
      <c r="B36" s="159" t="str">
        <f>Programm!A26</f>
        <v>Übung 12</v>
      </c>
      <c r="C36" s="155"/>
      <c r="D36" s="155"/>
      <c r="E36" s="160">
        <f>IF(A36=0,0,Programm!EX26)</f>
        <v>0</v>
      </c>
      <c r="F36" s="152" t="e">
        <f>Programm!F165</f>
        <v>#DIV/0!</v>
      </c>
      <c r="G36" s="152" t="e">
        <f>Programm!G165</f>
        <v>#DIV/0!</v>
      </c>
      <c r="H36" s="152" t="e">
        <f>Programm!H165</f>
        <v>#DIV/0!</v>
      </c>
      <c r="I36" s="152" t="e">
        <f>Programm!I165</f>
        <v>#DIV/0!</v>
      </c>
      <c r="J36" s="152" t="e">
        <f>Programm!J165</f>
        <v>#DIV/0!</v>
      </c>
      <c r="K36" s="152" t="e">
        <f>Programm!K165</f>
        <v>#DIV/0!</v>
      </c>
      <c r="L36" s="152" t="e">
        <f>Programm!L165</f>
        <v>#DIV/0!</v>
      </c>
      <c r="N36" s="160" t="e">
        <f>Programm!N165</f>
        <v>#DIV/0!</v>
      </c>
      <c r="O36" s="160" t="e">
        <f>Programm!O165</f>
        <v>#DIV/0!</v>
      </c>
      <c r="P36" s="160" t="e">
        <f>Programm!P165</f>
        <v>#DIV/0!</v>
      </c>
      <c r="Q36" s="160" t="e">
        <f>Programm!Q165</f>
        <v>#DIV/0!</v>
      </c>
      <c r="R36" s="160" t="e">
        <f>Programm!R165</f>
        <v>#DIV/0!</v>
      </c>
      <c r="S36" s="160" t="e">
        <f>Programm!S165</f>
        <v>#DIV/0!</v>
      </c>
      <c r="T36" s="160" t="e">
        <f>Programm!T165</f>
        <v>#DIV/0!</v>
      </c>
    </row>
    <row r="37" spans="1:20" s="152" customFormat="1" hidden="1" x14ac:dyDescent="0.2">
      <c r="A37" s="152">
        <f>Programm!A166</f>
        <v>0</v>
      </c>
      <c r="B37" s="159">
        <f>Programm!A27</f>
        <v>0</v>
      </c>
      <c r="C37" s="155"/>
      <c r="D37" s="155"/>
      <c r="E37" s="160">
        <f>IF(A37=0,0,Programm!EX27)</f>
        <v>0</v>
      </c>
      <c r="F37" s="152" t="e">
        <f>Programm!F166</f>
        <v>#DIV/0!</v>
      </c>
      <c r="G37" s="152" t="e">
        <f>Programm!G166</f>
        <v>#DIV/0!</v>
      </c>
      <c r="H37" s="152" t="e">
        <f>Programm!H166</f>
        <v>#DIV/0!</v>
      </c>
      <c r="I37" s="152" t="e">
        <f>Programm!I166</f>
        <v>#DIV/0!</v>
      </c>
      <c r="J37" s="152" t="e">
        <f>Programm!J166</f>
        <v>#DIV/0!</v>
      </c>
      <c r="K37" s="152" t="e">
        <f>Programm!K166</f>
        <v>#DIV/0!</v>
      </c>
      <c r="L37" s="152" t="e">
        <f>Programm!L166</f>
        <v>#DIV/0!</v>
      </c>
      <c r="N37" s="160" t="e">
        <f>Programm!N166</f>
        <v>#DIV/0!</v>
      </c>
      <c r="O37" s="160" t="e">
        <f>Programm!O166</f>
        <v>#DIV/0!</v>
      </c>
      <c r="P37" s="160" t="e">
        <f>Programm!P166</f>
        <v>#DIV/0!</v>
      </c>
      <c r="Q37" s="160" t="e">
        <f>Programm!Q166</f>
        <v>#DIV/0!</v>
      </c>
      <c r="R37" s="160" t="e">
        <f>Programm!R166</f>
        <v>#DIV/0!</v>
      </c>
      <c r="S37" s="160" t="e">
        <f>Programm!S166</f>
        <v>#DIV/0!</v>
      </c>
      <c r="T37" s="160" t="e">
        <f>Programm!T166</f>
        <v>#DIV/0!</v>
      </c>
    </row>
    <row r="38" spans="1:20" s="152" customFormat="1" hidden="1" x14ac:dyDescent="0.2">
      <c r="A38" s="152">
        <f>Programm!A167</f>
        <v>0</v>
      </c>
      <c r="B38" s="159" t="str">
        <f>Programm!A28</f>
        <v>Übung 13</v>
      </c>
      <c r="C38" s="155"/>
      <c r="D38" s="155"/>
      <c r="E38" s="160">
        <f>IF(A38=0,0,Programm!EX28)</f>
        <v>0</v>
      </c>
      <c r="F38" s="152" t="e">
        <f>Programm!F167</f>
        <v>#DIV/0!</v>
      </c>
      <c r="G38" s="152" t="e">
        <f>Programm!G167</f>
        <v>#DIV/0!</v>
      </c>
      <c r="H38" s="152" t="e">
        <f>Programm!H167</f>
        <v>#DIV/0!</v>
      </c>
      <c r="I38" s="152" t="e">
        <f>Programm!I167</f>
        <v>#DIV/0!</v>
      </c>
      <c r="J38" s="152" t="e">
        <f>Programm!J167</f>
        <v>#DIV/0!</v>
      </c>
      <c r="K38" s="152" t="e">
        <f>Programm!K167</f>
        <v>#DIV/0!</v>
      </c>
      <c r="L38" s="152" t="e">
        <f>Programm!L167</f>
        <v>#DIV/0!</v>
      </c>
      <c r="N38" s="160" t="e">
        <f>Programm!N167</f>
        <v>#DIV/0!</v>
      </c>
      <c r="O38" s="160" t="e">
        <f>Programm!O167</f>
        <v>#DIV/0!</v>
      </c>
      <c r="P38" s="160" t="e">
        <f>Programm!P167</f>
        <v>#DIV/0!</v>
      </c>
      <c r="Q38" s="160" t="e">
        <f>Programm!Q167</f>
        <v>#DIV/0!</v>
      </c>
      <c r="R38" s="160" t="e">
        <f>Programm!R167</f>
        <v>#DIV/0!</v>
      </c>
      <c r="S38" s="160" t="e">
        <f>Programm!S167</f>
        <v>#DIV/0!</v>
      </c>
      <c r="T38" s="160" t="e">
        <f>Programm!T167</f>
        <v>#DIV/0!</v>
      </c>
    </row>
    <row r="39" spans="1:20" s="152" customFormat="1" hidden="1" x14ac:dyDescent="0.2">
      <c r="A39" s="152">
        <f>Programm!A168</f>
        <v>0</v>
      </c>
      <c r="B39" s="159">
        <f>Programm!A29</f>
        <v>0</v>
      </c>
      <c r="C39" s="155"/>
      <c r="D39" s="155"/>
      <c r="E39" s="160">
        <f>IF(A39=0,0,Programm!EX29)</f>
        <v>0</v>
      </c>
      <c r="F39" s="152" t="e">
        <f>Programm!F168</f>
        <v>#DIV/0!</v>
      </c>
      <c r="G39" s="152" t="e">
        <f>Programm!G168</f>
        <v>#DIV/0!</v>
      </c>
      <c r="H39" s="152" t="e">
        <f>Programm!H168</f>
        <v>#DIV/0!</v>
      </c>
      <c r="I39" s="152" t="e">
        <f>Programm!I168</f>
        <v>#DIV/0!</v>
      </c>
      <c r="J39" s="152" t="e">
        <f>Programm!J168</f>
        <v>#DIV/0!</v>
      </c>
      <c r="K39" s="152" t="e">
        <f>Programm!K168</f>
        <v>#DIV/0!</v>
      </c>
      <c r="L39" s="152" t="e">
        <f>Programm!L168</f>
        <v>#DIV/0!</v>
      </c>
      <c r="N39" s="160" t="e">
        <f>Programm!N168</f>
        <v>#DIV/0!</v>
      </c>
      <c r="O39" s="160" t="e">
        <f>Programm!O168</f>
        <v>#DIV/0!</v>
      </c>
      <c r="P39" s="160" t="e">
        <f>Programm!P168</f>
        <v>#DIV/0!</v>
      </c>
      <c r="Q39" s="160" t="e">
        <f>Programm!Q168</f>
        <v>#DIV/0!</v>
      </c>
      <c r="R39" s="160" t="e">
        <f>Programm!R168</f>
        <v>#DIV/0!</v>
      </c>
      <c r="S39" s="160" t="e">
        <f>Programm!S168</f>
        <v>#DIV/0!</v>
      </c>
      <c r="T39" s="160" t="e">
        <f>Programm!T168</f>
        <v>#DIV/0!</v>
      </c>
    </row>
    <row r="40" spans="1:20" s="152" customFormat="1" hidden="1" x14ac:dyDescent="0.2">
      <c r="A40" s="152">
        <f>Programm!A169</f>
        <v>0</v>
      </c>
      <c r="B40" s="159" t="str">
        <f>Programm!A30</f>
        <v>Übung 14</v>
      </c>
      <c r="C40" s="155"/>
      <c r="D40" s="155"/>
      <c r="E40" s="160">
        <f>IF(A40=0,0,Programm!EX30)</f>
        <v>0</v>
      </c>
      <c r="F40" s="152" t="e">
        <f>Programm!F169</f>
        <v>#DIV/0!</v>
      </c>
      <c r="G40" s="152" t="e">
        <f>Programm!G169</f>
        <v>#DIV/0!</v>
      </c>
      <c r="H40" s="152" t="e">
        <f>Programm!H169</f>
        <v>#DIV/0!</v>
      </c>
      <c r="I40" s="152" t="e">
        <f>Programm!I169</f>
        <v>#DIV/0!</v>
      </c>
      <c r="J40" s="152" t="e">
        <f>Programm!J169</f>
        <v>#DIV/0!</v>
      </c>
      <c r="K40" s="152" t="e">
        <f>Programm!K169</f>
        <v>#DIV/0!</v>
      </c>
      <c r="L40" s="152" t="e">
        <f>Programm!L169</f>
        <v>#DIV/0!</v>
      </c>
      <c r="N40" s="160" t="e">
        <f>Programm!N169</f>
        <v>#DIV/0!</v>
      </c>
      <c r="O40" s="160" t="e">
        <f>Programm!O169</f>
        <v>#DIV/0!</v>
      </c>
      <c r="P40" s="160" t="e">
        <f>Programm!P169</f>
        <v>#DIV/0!</v>
      </c>
      <c r="Q40" s="160" t="e">
        <f>Programm!Q169</f>
        <v>#DIV/0!</v>
      </c>
      <c r="R40" s="160" t="e">
        <f>Programm!R169</f>
        <v>#DIV/0!</v>
      </c>
      <c r="S40" s="160" t="e">
        <f>Programm!S169</f>
        <v>#DIV/0!</v>
      </c>
      <c r="T40" s="160" t="e">
        <f>Programm!T169</f>
        <v>#DIV/0!</v>
      </c>
    </row>
    <row r="41" spans="1:20" s="152" customFormat="1" hidden="1" x14ac:dyDescent="0.2">
      <c r="A41" s="152">
        <f>Programm!A170</f>
        <v>0</v>
      </c>
      <c r="B41" s="159">
        <f>Programm!A31</f>
        <v>0</v>
      </c>
      <c r="C41" s="155"/>
      <c r="D41" s="155"/>
      <c r="E41" s="160">
        <f>IF(A41=0,0,Programm!EX31)</f>
        <v>0</v>
      </c>
      <c r="F41" s="152" t="e">
        <f>Programm!F170</f>
        <v>#DIV/0!</v>
      </c>
      <c r="G41" s="152" t="e">
        <f>Programm!G170</f>
        <v>#DIV/0!</v>
      </c>
      <c r="H41" s="152" t="e">
        <f>Programm!H170</f>
        <v>#DIV/0!</v>
      </c>
      <c r="I41" s="152" t="e">
        <f>Programm!I170</f>
        <v>#DIV/0!</v>
      </c>
      <c r="J41" s="152" t="e">
        <f>Programm!J170</f>
        <v>#DIV/0!</v>
      </c>
      <c r="K41" s="152" t="e">
        <f>Programm!K170</f>
        <v>#DIV/0!</v>
      </c>
      <c r="L41" s="152" t="e">
        <f>Programm!L170</f>
        <v>#DIV/0!</v>
      </c>
      <c r="N41" s="160" t="e">
        <f>Programm!N170</f>
        <v>#DIV/0!</v>
      </c>
      <c r="O41" s="160" t="e">
        <f>Programm!O170</f>
        <v>#DIV/0!</v>
      </c>
      <c r="P41" s="160" t="e">
        <f>Programm!P170</f>
        <v>#DIV/0!</v>
      </c>
      <c r="Q41" s="160" t="e">
        <f>Programm!Q170</f>
        <v>#DIV/0!</v>
      </c>
      <c r="R41" s="160" t="e">
        <f>Programm!R170</f>
        <v>#DIV/0!</v>
      </c>
      <c r="S41" s="160" t="e">
        <f>Programm!S170</f>
        <v>#DIV/0!</v>
      </c>
      <c r="T41" s="160" t="e">
        <f>Programm!T170</f>
        <v>#DIV/0!</v>
      </c>
    </row>
    <row r="42" spans="1:20" s="152" customFormat="1" hidden="1" x14ac:dyDescent="0.2">
      <c r="A42" s="152">
        <f>Programm!A171</f>
        <v>0</v>
      </c>
      <c r="B42" s="159" t="str">
        <f>Programm!A32</f>
        <v>Übung 15</v>
      </c>
      <c r="C42" s="155"/>
      <c r="D42" s="155"/>
      <c r="E42" s="160">
        <f>IF(A42=0,0,Programm!EX32)</f>
        <v>0</v>
      </c>
      <c r="F42" s="152" t="e">
        <f>Programm!F171</f>
        <v>#DIV/0!</v>
      </c>
      <c r="G42" s="152" t="e">
        <f>Programm!G171</f>
        <v>#DIV/0!</v>
      </c>
      <c r="H42" s="152" t="e">
        <f>Programm!H171</f>
        <v>#DIV/0!</v>
      </c>
      <c r="I42" s="152" t="e">
        <f>Programm!I171</f>
        <v>#DIV/0!</v>
      </c>
      <c r="J42" s="152" t="e">
        <f>Programm!J171</f>
        <v>#DIV/0!</v>
      </c>
      <c r="K42" s="152" t="e">
        <f>Programm!K171</f>
        <v>#DIV/0!</v>
      </c>
      <c r="L42" s="152" t="e">
        <f>Programm!L171</f>
        <v>#DIV/0!</v>
      </c>
      <c r="N42" s="160" t="e">
        <f>Programm!N171</f>
        <v>#DIV/0!</v>
      </c>
      <c r="O42" s="160" t="e">
        <f>Programm!O171</f>
        <v>#DIV/0!</v>
      </c>
      <c r="P42" s="160" t="e">
        <f>Programm!P171</f>
        <v>#DIV/0!</v>
      </c>
      <c r="Q42" s="160" t="e">
        <f>Programm!Q171</f>
        <v>#DIV/0!</v>
      </c>
      <c r="R42" s="160" t="e">
        <f>Programm!R171</f>
        <v>#DIV/0!</v>
      </c>
      <c r="S42" s="160" t="e">
        <f>Programm!S171</f>
        <v>#DIV/0!</v>
      </c>
      <c r="T42" s="160" t="e">
        <f>Programm!T171</f>
        <v>#DIV/0!</v>
      </c>
    </row>
    <row r="43" spans="1:20" s="152" customFormat="1" hidden="1" x14ac:dyDescent="0.2">
      <c r="A43" s="152">
        <f>Programm!A172</f>
        <v>0</v>
      </c>
      <c r="B43" s="159">
        <f>Programm!A33</f>
        <v>0</v>
      </c>
      <c r="C43" s="155"/>
      <c r="D43" s="155"/>
      <c r="E43" s="160">
        <f>IF(A43=0,0,Programm!EX33)</f>
        <v>0</v>
      </c>
      <c r="F43" s="152" t="e">
        <f>Programm!F172</f>
        <v>#DIV/0!</v>
      </c>
      <c r="G43" s="152" t="e">
        <f>Programm!G172</f>
        <v>#DIV/0!</v>
      </c>
      <c r="H43" s="152" t="e">
        <f>Programm!H172</f>
        <v>#DIV/0!</v>
      </c>
      <c r="I43" s="152" t="e">
        <f>Programm!I172</f>
        <v>#DIV/0!</v>
      </c>
      <c r="J43" s="152" t="e">
        <f>Programm!J172</f>
        <v>#DIV/0!</v>
      </c>
      <c r="K43" s="152" t="e">
        <f>Programm!K172</f>
        <v>#DIV/0!</v>
      </c>
      <c r="L43" s="152" t="e">
        <f>Programm!L172</f>
        <v>#DIV/0!</v>
      </c>
      <c r="N43" s="160" t="e">
        <f>Programm!N172</f>
        <v>#DIV/0!</v>
      </c>
      <c r="O43" s="160" t="e">
        <f>Programm!O172</f>
        <v>#DIV/0!</v>
      </c>
      <c r="P43" s="160" t="e">
        <f>Programm!P172</f>
        <v>#DIV/0!</v>
      </c>
      <c r="Q43" s="160" t="e">
        <f>Programm!Q172</f>
        <v>#DIV/0!</v>
      </c>
      <c r="R43" s="160" t="e">
        <f>Programm!R172</f>
        <v>#DIV/0!</v>
      </c>
      <c r="S43" s="160" t="e">
        <f>Programm!S172</f>
        <v>#DIV/0!</v>
      </c>
      <c r="T43" s="160" t="e">
        <f>Programm!T172</f>
        <v>#DIV/0!</v>
      </c>
    </row>
    <row r="44" spans="1:20" s="152" customFormat="1" hidden="1" x14ac:dyDescent="0.2">
      <c r="A44" s="152">
        <f>Programm!A173</f>
        <v>0</v>
      </c>
      <c r="B44" s="159" t="str">
        <f>Programm!A34</f>
        <v>Übung 16</v>
      </c>
      <c r="C44" s="155"/>
      <c r="D44" s="155"/>
      <c r="E44" s="160">
        <f>IF(A44=0,0,Programm!EX34)</f>
        <v>0</v>
      </c>
      <c r="F44" s="152" t="e">
        <f>Programm!F173</f>
        <v>#DIV/0!</v>
      </c>
      <c r="G44" s="152" t="e">
        <f>Programm!G173</f>
        <v>#DIV/0!</v>
      </c>
      <c r="H44" s="152" t="e">
        <f>Programm!H173</f>
        <v>#DIV/0!</v>
      </c>
      <c r="I44" s="152" t="e">
        <f>Programm!I173</f>
        <v>#DIV/0!</v>
      </c>
      <c r="J44" s="152" t="e">
        <f>Programm!J173</f>
        <v>#DIV/0!</v>
      </c>
      <c r="K44" s="152" t="e">
        <f>Programm!K173</f>
        <v>#DIV/0!</v>
      </c>
      <c r="L44" s="152" t="e">
        <f>Programm!L173</f>
        <v>#DIV/0!</v>
      </c>
      <c r="N44" s="160" t="e">
        <f>Programm!N173</f>
        <v>#DIV/0!</v>
      </c>
      <c r="O44" s="160" t="e">
        <f>Programm!O173</f>
        <v>#DIV/0!</v>
      </c>
      <c r="P44" s="160" t="e">
        <f>Programm!P173</f>
        <v>#DIV/0!</v>
      </c>
      <c r="Q44" s="160" t="e">
        <f>Programm!Q173</f>
        <v>#DIV/0!</v>
      </c>
      <c r="R44" s="160" t="e">
        <f>Programm!R173</f>
        <v>#DIV/0!</v>
      </c>
      <c r="S44" s="160" t="e">
        <f>Programm!S173</f>
        <v>#DIV/0!</v>
      </c>
      <c r="T44" s="160" t="e">
        <f>Programm!T173</f>
        <v>#DIV/0!</v>
      </c>
    </row>
    <row r="45" spans="1:20" s="152" customFormat="1" hidden="1" x14ac:dyDescent="0.2">
      <c r="A45" s="152">
        <f>Programm!A174</f>
        <v>0</v>
      </c>
      <c r="B45" s="159">
        <f>Programm!A35</f>
        <v>0</v>
      </c>
      <c r="C45" s="155"/>
      <c r="D45" s="155"/>
      <c r="E45" s="160">
        <f>IF(A45=0,0,Programm!EX35)</f>
        <v>0</v>
      </c>
      <c r="F45" s="152" t="e">
        <f>Programm!F174</f>
        <v>#DIV/0!</v>
      </c>
      <c r="G45" s="152" t="e">
        <f>Programm!G174</f>
        <v>#DIV/0!</v>
      </c>
      <c r="H45" s="152" t="e">
        <f>Programm!H174</f>
        <v>#DIV/0!</v>
      </c>
      <c r="I45" s="152" t="e">
        <f>Programm!I174</f>
        <v>#DIV/0!</v>
      </c>
      <c r="J45" s="152" t="e">
        <f>Programm!J174</f>
        <v>#DIV/0!</v>
      </c>
      <c r="K45" s="152" t="e">
        <f>Programm!K174</f>
        <v>#DIV/0!</v>
      </c>
      <c r="L45" s="152" t="e">
        <f>Programm!L174</f>
        <v>#DIV/0!</v>
      </c>
      <c r="N45" s="160" t="e">
        <f>Programm!N174</f>
        <v>#DIV/0!</v>
      </c>
      <c r="O45" s="160" t="e">
        <f>Programm!O174</f>
        <v>#DIV/0!</v>
      </c>
      <c r="P45" s="160" t="e">
        <f>Programm!P174</f>
        <v>#DIV/0!</v>
      </c>
      <c r="Q45" s="160" t="e">
        <f>Programm!Q174</f>
        <v>#DIV/0!</v>
      </c>
      <c r="R45" s="160" t="e">
        <f>Programm!R174</f>
        <v>#DIV/0!</v>
      </c>
      <c r="S45" s="160" t="e">
        <f>Programm!S174</f>
        <v>#DIV/0!</v>
      </c>
      <c r="T45" s="160" t="e">
        <f>Programm!T174</f>
        <v>#DIV/0!</v>
      </c>
    </row>
    <row r="46" spans="1:20" s="152" customFormat="1" hidden="1" x14ac:dyDescent="0.2">
      <c r="A46" s="152">
        <f>Programm!A175</f>
        <v>0</v>
      </c>
      <c r="B46" s="159" t="str">
        <f>Programm!A36</f>
        <v>Übung 17</v>
      </c>
      <c r="C46" s="155"/>
      <c r="D46" s="155"/>
      <c r="E46" s="160">
        <f>IF(A46=0,0,Programm!EX36)</f>
        <v>0</v>
      </c>
      <c r="F46" s="152" t="e">
        <f>Programm!F175</f>
        <v>#DIV/0!</v>
      </c>
      <c r="G46" s="152" t="e">
        <f>Programm!G175</f>
        <v>#DIV/0!</v>
      </c>
      <c r="H46" s="152" t="e">
        <f>Programm!H175</f>
        <v>#DIV/0!</v>
      </c>
      <c r="I46" s="152" t="e">
        <f>Programm!I175</f>
        <v>#DIV/0!</v>
      </c>
      <c r="J46" s="152" t="e">
        <f>Programm!J175</f>
        <v>#DIV/0!</v>
      </c>
      <c r="K46" s="152" t="e">
        <f>Programm!K175</f>
        <v>#DIV/0!</v>
      </c>
      <c r="L46" s="152" t="e">
        <f>Programm!L175</f>
        <v>#DIV/0!</v>
      </c>
      <c r="N46" s="160" t="e">
        <f>Programm!N175</f>
        <v>#DIV/0!</v>
      </c>
      <c r="O46" s="160" t="e">
        <f>Programm!O175</f>
        <v>#DIV/0!</v>
      </c>
      <c r="P46" s="160" t="e">
        <f>Programm!P175</f>
        <v>#DIV/0!</v>
      </c>
      <c r="Q46" s="160" t="e">
        <f>Programm!Q175</f>
        <v>#DIV/0!</v>
      </c>
      <c r="R46" s="160" t="e">
        <f>Programm!R175</f>
        <v>#DIV/0!</v>
      </c>
      <c r="S46" s="160" t="e">
        <f>Programm!S175</f>
        <v>#DIV/0!</v>
      </c>
      <c r="T46" s="160" t="e">
        <f>Programm!T175</f>
        <v>#DIV/0!</v>
      </c>
    </row>
    <row r="47" spans="1:20" s="152" customFormat="1" hidden="1" x14ac:dyDescent="0.2">
      <c r="A47" s="152">
        <f>Programm!A176</f>
        <v>0</v>
      </c>
      <c r="B47" s="159">
        <f>Programm!A37</f>
        <v>0</v>
      </c>
      <c r="C47" s="155"/>
      <c r="D47" s="155"/>
      <c r="E47" s="160">
        <f>IF(A47=0,0,Programm!EX37)</f>
        <v>0</v>
      </c>
      <c r="F47" s="152" t="e">
        <f>Programm!F176</f>
        <v>#DIV/0!</v>
      </c>
      <c r="G47" s="152" t="e">
        <f>Programm!G176</f>
        <v>#DIV/0!</v>
      </c>
      <c r="H47" s="152" t="e">
        <f>Programm!H176</f>
        <v>#DIV/0!</v>
      </c>
      <c r="I47" s="152" t="e">
        <f>Programm!I176</f>
        <v>#DIV/0!</v>
      </c>
      <c r="J47" s="152" t="e">
        <f>Programm!J176</f>
        <v>#DIV/0!</v>
      </c>
      <c r="K47" s="152" t="e">
        <f>Programm!K176</f>
        <v>#DIV/0!</v>
      </c>
      <c r="L47" s="152" t="e">
        <f>Programm!L176</f>
        <v>#DIV/0!</v>
      </c>
      <c r="N47" s="160" t="e">
        <f>Programm!N176</f>
        <v>#DIV/0!</v>
      </c>
      <c r="O47" s="160" t="e">
        <f>Programm!O176</f>
        <v>#DIV/0!</v>
      </c>
      <c r="P47" s="160" t="e">
        <f>Programm!P176</f>
        <v>#DIV/0!</v>
      </c>
      <c r="Q47" s="160" t="e">
        <f>Programm!Q176</f>
        <v>#DIV/0!</v>
      </c>
      <c r="R47" s="160" t="e">
        <f>Programm!R176</f>
        <v>#DIV/0!</v>
      </c>
      <c r="S47" s="160" t="e">
        <f>Programm!S176</f>
        <v>#DIV/0!</v>
      </c>
      <c r="T47" s="160" t="e">
        <f>Programm!T176</f>
        <v>#DIV/0!</v>
      </c>
    </row>
    <row r="48" spans="1:20" x14ac:dyDescent="0.2">
      <c r="A48" s="153">
        <f>Programm!A177</f>
        <v>0</v>
      </c>
      <c r="B48" s="159" t="str">
        <f>Programm!A38</f>
        <v>Übung 18</v>
      </c>
      <c r="C48" s="161"/>
      <c r="D48" s="161"/>
      <c r="E48" s="166">
        <f>IF(A48=0,0,Programm!EX38)</f>
        <v>0</v>
      </c>
      <c r="F48" s="153" t="e">
        <f>Programm!F177</f>
        <v>#DIV/0!</v>
      </c>
      <c r="G48" s="153" t="e">
        <f>Programm!G177</f>
        <v>#DIV/0!</v>
      </c>
      <c r="H48" s="153" t="e">
        <f>Programm!H177</f>
        <v>#DIV/0!</v>
      </c>
      <c r="I48" s="153" t="e">
        <f>Programm!I177</f>
        <v>#DIV/0!</v>
      </c>
      <c r="J48" s="153" t="e">
        <f>Programm!J177</f>
        <v>#DIV/0!</v>
      </c>
      <c r="K48" s="153" t="e">
        <f>Programm!K177</f>
        <v>#DIV/0!</v>
      </c>
      <c r="L48" s="153" t="e">
        <f>Programm!L177</f>
        <v>#DIV/0!</v>
      </c>
      <c r="N48" s="166" t="e">
        <f>Programm!N177</f>
        <v>#DIV/0!</v>
      </c>
      <c r="O48" s="166" t="e">
        <f>Programm!O177</f>
        <v>#DIV/0!</v>
      </c>
      <c r="P48" s="166" t="e">
        <f>Programm!P177</f>
        <v>#DIV/0!</v>
      </c>
      <c r="Q48" s="166" t="e">
        <f>Programm!Q177</f>
        <v>#DIV/0!</v>
      </c>
      <c r="R48" s="166" t="e">
        <f>Programm!R177</f>
        <v>#DIV/0!</v>
      </c>
      <c r="S48" s="166" t="e">
        <f>Programm!S177</f>
        <v>#DIV/0!</v>
      </c>
      <c r="T48" s="166" t="e">
        <f>Programm!T177</f>
        <v>#DIV/0!</v>
      </c>
    </row>
    <row r="49" spans="1:20" s="152" customFormat="1" hidden="1" x14ac:dyDescent="0.2">
      <c r="A49" s="152">
        <f>Programm!A178</f>
        <v>0</v>
      </c>
      <c r="B49" s="159">
        <f>Programm!A39</f>
        <v>0</v>
      </c>
      <c r="C49" s="155"/>
      <c r="D49" s="155"/>
      <c r="E49" s="160">
        <f>IF(A49=0,0,Programm!EX39)</f>
        <v>0</v>
      </c>
      <c r="F49" s="152" t="e">
        <f>Programm!F178</f>
        <v>#DIV/0!</v>
      </c>
      <c r="G49" s="152" t="e">
        <f>Programm!G178</f>
        <v>#DIV/0!</v>
      </c>
      <c r="H49" s="152" t="e">
        <f>Programm!H178</f>
        <v>#DIV/0!</v>
      </c>
      <c r="I49" s="152" t="e">
        <f>Programm!I178</f>
        <v>#DIV/0!</v>
      </c>
      <c r="J49" s="152" t="e">
        <f>Programm!J178</f>
        <v>#DIV/0!</v>
      </c>
      <c r="K49" s="152" t="e">
        <f>Programm!K178</f>
        <v>#DIV/0!</v>
      </c>
      <c r="L49" s="152" t="e">
        <f>Programm!L178</f>
        <v>#DIV/0!</v>
      </c>
      <c r="N49" s="160" t="e">
        <f>Programm!N178</f>
        <v>#DIV/0!</v>
      </c>
      <c r="O49" s="160" t="e">
        <f>Programm!O178</f>
        <v>#DIV/0!</v>
      </c>
      <c r="P49" s="160" t="e">
        <f>Programm!P178</f>
        <v>#DIV/0!</v>
      </c>
      <c r="Q49" s="160" t="e">
        <f>Programm!Q178</f>
        <v>#DIV/0!</v>
      </c>
      <c r="R49" s="160" t="e">
        <f>Programm!R178</f>
        <v>#DIV/0!</v>
      </c>
      <c r="S49" s="160" t="e">
        <f>Programm!S178</f>
        <v>#DIV/0!</v>
      </c>
      <c r="T49" s="160" t="e">
        <f>Programm!T178</f>
        <v>#DIV/0!</v>
      </c>
    </row>
    <row r="50" spans="1:20" s="152" customFormat="1" hidden="1" x14ac:dyDescent="0.2">
      <c r="A50" s="152">
        <f>Programm!A179</f>
        <v>0</v>
      </c>
      <c r="B50" s="159" t="str">
        <f>Programm!A40</f>
        <v>Übung 19</v>
      </c>
      <c r="C50" s="155"/>
      <c r="D50" s="155"/>
      <c r="E50" s="160">
        <f>IF(A50=0,0,Programm!EX40)</f>
        <v>0</v>
      </c>
      <c r="F50" s="152" t="e">
        <f>Programm!F179</f>
        <v>#DIV/0!</v>
      </c>
      <c r="G50" s="152" t="e">
        <f>Programm!G179</f>
        <v>#DIV/0!</v>
      </c>
      <c r="H50" s="152" t="e">
        <f>Programm!H179</f>
        <v>#DIV/0!</v>
      </c>
      <c r="I50" s="152" t="e">
        <f>Programm!I179</f>
        <v>#DIV/0!</v>
      </c>
      <c r="J50" s="152" t="e">
        <f>Programm!J179</f>
        <v>#DIV/0!</v>
      </c>
      <c r="K50" s="152" t="e">
        <f>Programm!K179</f>
        <v>#DIV/0!</v>
      </c>
      <c r="L50" s="152" t="e">
        <f>Programm!L179</f>
        <v>#DIV/0!</v>
      </c>
      <c r="N50" s="160" t="e">
        <f>Programm!N179</f>
        <v>#DIV/0!</v>
      </c>
      <c r="O50" s="160" t="e">
        <f>Programm!O179</f>
        <v>#DIV/0!</v>
      </c>
      <c r="P50" s="160" t="e">
        <f>Programm!P179</f>
        <v>#DIV/0!</v>
      </c>
      <c r="Q50" s="160" t="e">
        <f>Programm!Q179</f>
        <v>#DIV/0!</v>
      </c>
      <c r="R50" s="160" t="e">
        <f>Programm!R179</f>
        <v>#DIV/0!</v>
      </c>
      <c r="S50" s="160" t="e">
        <f>Programm!S179</f>
        <v>#DIV/0!</v>
      </c>
      <c r="T50" s="160" t="e">
        <f>Programm!T179</f>
        <v>#DIV/0!</v>
      </c>
    </row>
    <row r="51" spans="1:20" s="152" customFormat="1" hidden="1" x14ac:dyDescent="0.2">
      <c r="A51" s="152">
        <f>Programm!A180</f>
        <v>0</v>
      </c>
      <c r="B51" s="159">
        <f>Programm!A41</f>
        <v>0</v>
      </c>
      <c r="C51" s="155"/>
      <c r="D51" s="155"/>
      <c r="E51" s="160">
        <f>IF(A51=0,0,Programm!EX41)</f>
        <v>0</v>
      </c>
      <c r="F51" s="152" t="e">
        <f>Programm!F180</f>
        <v>#DIV/0!</v>
      </c>
      <c r="G51" s="152" t="e">
        <f>Programm!G180</f>
        <v>#DIV/0!</v>
      </c>
      <c r="H51" s="152" t="e">
        <f>Programm!H180</f>
        <v>#DIV/0!</v>
      </c>
      <c r="I51" s="152" t="e">
        <f>Programm!I180</f>
        <v>#DIV/0!</v>
      </c>
      <c r="J51" s="152" t="e">
        <f>Programm!J180</f>
        <v>#DIV/0!</v>
      </c>
      <c r="K51" s="152" t="e">
        <f>Programm!K180</f>
        <v>#DIV/0!</v>
      </c>
      <c r="L51" s="152" t="e">
        <f>Programm!L180</f>
        <v>#DIV/0!</v>
      </c>
      <c r="N51" s="160" t="e">
        <f>Programm!N180</f>
        <v>#DIV/0!</v>
      </c>
      <c r="O51" s="160" t="e">
        <f>Programm!O180</f>
        <v>#DIV/0!</v>
      </c>
      <c r="P51" s="160" t="e">
        <f>Programm!P180</f>
        <v>#DIV/0!</v>
      </c>
      <c r="Q51" s="160" t="e">
        <f>Programm!Q180</f>
        <v>#DIV/0!</v>
      </c>
      <c r="R51" s="160" t="e">
        <f>Programm!R180</f>
        <v>#DIV/0!</v>
      </c>
      <c r="S51" s="160" t="e">
        <f>Programm!S180</f>
        <v>#DIV/0!</v>
      </c>
      <c r="T51" s="160" t="e">
        <f>Programm!T180</f>
        <v>#DIV/0!</v>
      </c>
    </row>
    <row r="52" spans="1:20" s="152" customFormat="1" hidden="1" x14ac:dyDescent="0.2">
      <c r="A52" s="152">
        <f>Programm!A181</f>
        <v>0</v>
      </c>
      <c r="B52" s="159" t="str">
        <f>Programm!A42</f>
        <v>Übung 20</v>
      </c>
      <c r="C52" s="155"/>
      <c r="D52" s="155"/>
      <c r="E52" s="160">
        <f>IF(A52=0,0,Programm!EX42)</f>
        <v>0</v>
      </c>
      <c r="F52" s="152" t="e">
        <f>Programm!F181</f>
        <v>#DIV/0!</v>
      </c>
      <c r="G52" s="152" t="e">
        <f>Programm!G181</f>
        <v>#DIV/0!</v>
      </c>
      <c r="H52" s="152" t="e">
        <f>Programm!H181</f>
        <v>#DIV/0!</v>
      </c>
      <c r="I52" s="152" t="e">
        <f>Programm!I181</f>
        <v>#DIV/0!</v>
      </c>
      <c r="J52" s="152" t="e">
        <f>Programm!J181</f>
        <v>#DIV/0!</v>
      </c>
      <c r="K52" s="152" t="e">
        <f>Programm!K181</f>
        <v>#DIV/0!</v>
      </c>
      <c r="L52" s="152" t="e">
        <f>Programm!L181</f>
        <v>#DIV/0!</v>
      </c>
      <c r="N52" s="160" t="e">
        <f>Programm!N181</f>
        <v>#DIV/0!</v>
      </c>
      <c r="O52" s="160" t="e">
        <f>Programm!O181</f>
        <v>#DIV/0!</v>
      </c>
      <c r="P52" s="160" t="e">
        <f>Programm!P181</f>
        <v>#DIV/0!</v>
      </c>
      <c r="Q52" s="160" t="e">
        <f>Programm!Q181</f>
        <v>#DIV/0!</v>
      </c>
      <c r="R52" s="160" t="e">
        <f>Programm!R181</f>
        <v>#DIV/0!</v>
      </c>
      <c r="S52" s="160" t="e">
        <f>Programm!S181</f>
        <v>#DIV/0!</v>
      </c>
      <c r="T52" s="160" t="e">
        <f>Programm!T181</f>
        <v>#DIV/0!</v>
      </c>
    </row>
    <row r="53" spans="1:20" s="152" customFormat="1" hidden="1" x14ac:dyDescent="0.2">
      <c r="A53" s="152">
        <f>Programm!A182</f>
        <v>0</v>
      </c>
      <c r="B53" s="156">
        <f>Programm!A43</f>
        <v>0</v>
      </c>
      <c r="C53" s="155"/>
      <c r="D53" s="155"/>
      <c r="E53" s="160">
        <f>IF(A53=0,0,Programm!EX43)</f>
        <v>0</v>
      </c>
      <c r="F53" s="152" t="e">
        <f>Programm!F182</f>
        <v>#DIV/0!</v>
      </c>
      <c r="G53" s="152" t="e">
        <f>Programm!G182</f>
        <v>#DIV/0!</v>
      </c>
      <c r="H53" s="152" t="e">
        <f>Programm!H182</f>
        <v>#DIV/0!</v>
      </c>
      <c r="I53" s="152" t="e">
        <f>Programm!I182</f>
        <v>#DIV/0!</v>
      </c>
      <c r="J53" s="152" t="e">
        <f>Programm!J182</f>
        <v>#DIV/0!</v>
      </c>
      <c r="K53" s="152" t="e">
        <f>Programm!K182</f>
        <v>#DIV/0!</v>
      </c>
      <c r="L53" s="152" t="e">
        <f>Programm!L182</f>
        <v>#DIV/0!</v>
      </c>
      <c r="N53" s="160" t="e">
        <f>Programm!N182</f>
        <v>#DIV/0!</v>
      </c>
      <c r="O53" s="160" t="e">
        <f>Programm!O182</f>
        <v>#DIV/0!</v>
      </c>
      <c r="P53" s="160" t="e">
        <f>Programm!P182</f>
        <v>#DIV/0!</v>
      </c>
      <c r="Q53" s="160" t="e">
        <f>Programm!Q182</f>
        <v>#DIV/0!</v>
      </c>
      <c r="R53" s="160" t="e">
        <f>Programm!R182</f>
        <v>#DIV/0!</v>
      </c>
      <c r="S53" s="160" t="e">
        <f>Programm!S182</f>
        <v>#DIV/0!</v>
      </c>
      <c r="T53" s="160" t="e">
        <f>Programm!T182</f>
        <v>#DIV/0!</v>
      </c>
    </row>
    <row r="54" spans="1:20" s="152" customFormat="1" hidden="1" x14ac:dyDescent="0.2">
      <c r="A54" s="152">
        <f>Programm!A183</f>
        <v>0</v>
      </c>
      <c r="B54" s="159" t="str">
        <f>Programm!A44</f>
        <v>Übung 21</v>
      </c>
      <c r="C54" s="155"/>
      <c r="D54" s="155"/>
      <c r="E54" s="160">
        <f>IF(A54=0,0,Programm!EX44)</f>
        <v>0</v>
      </c>
      <c r="F54" s="152" t="e">
        <f>Programm!F183</f>
        <v>#DIV/0!</v>
      </c>
      <c r="G54" s="152" t="e">
        <f>Programm!G183</f>
        <v>#DIV/0!</v>
      </c>
      <c r="H54" s="152" t="e">
        <f>Programm!H183</f>
        <v>#DIV/0!</v>
      </c>
      <c r="I54" s="152" t="e">
        <f>Programm!I183</f>
        <v>#DIV/0!</v>
      </c>
      <c r="J54" s="152" t="e">
        <f>Programm!J183</f>
        <v>#DIV/0!</v>
      </c>
      <c r="K54" s="152" t="e">
        <f>Programm!K183</f>
        <v>#DIV/0!</v>
      </c>
      <c r="L54" s="152" t="e">
        <f>Programm!L183</f>
        <v>#DIV/0!</v>
      </c>
      <c r="N54" s="160" t="e">
        <f>Programm!N183</f>
        <v>#DIV/0!</v>
      </c>
      <c r="O54" s="160" t="e">
        <f>Programm!O183</f>
        <v>#DIV/0!</v>
      </c>
      <c r="P54" s="160" t="e">
        <f>Programm!P183</f>
        <v>#DIV/0!</v>
      </c>
      <c r="Q54" s="160" t="e">
        <f>Programm!Q183</f>
        <v>#DIV/0!</v>
      </c>
      <c r="R54" s="160" t="e">
        <f>Programm!R183</f>
        <v>#DIV/0!</v>
      </c>
      <c r="S54" s="160" t="e">
        <f>Programm!S183</f>
        <v>#DIV/0!</v>
      </c>
      <c r="T54" s="160" t="e">
        <f>Programm!T183</f>
        <v>#DIV/0!</v>
      </c>
    </row>
    <row r="55" spans="1:20" s="152" customFormat="1" hidden="1" x14ac:dyDescent="0.2">
      <c r="A55" s="152">
        <f>Programm!A184</f>
        <v>0</v>
      </c>
      <c r="B55" s="159">
        <f>Programm!A45</f>
        <v>0</v>
      </c>
      <c r="C55" s="155"/>
      <c r="D55" s="155"/>
      <c r="E55" s="160">
        <f>IF(A55=0,0,Programm!EX45)</f>
        <v>0</v>
      </c>
      <c r="F55" s="152" t="e">
        <f>Programm!F184</f>
        <v>#DIV/0!</v>
      </c>
      <c r="G55" s="152" t="e">
        <f>Programm!G184</f>
        <v>#DIV/0!</v>
      </c>
      <c r="H55" s="152" t="e">
        <f>Programm!H184</f>
        <v>#DIV/0!</v>
      </c>
      <c r="I55" s="152" t="e">
        <f>Programm!I184</f>
        <v>#DIV/0!</v>
      </c>
      <c r="J55" s="152" t="e">
        <f>Programm!J184</f>
        <v>#DIV/0!</v>
      </c>
      <c r="K55" s="152" t="e">
        <f>Programm!K184</f>
        <v>#DIV/0!</v>
      </c>
      <c r="L55" s="152" t="e">
        <f>Programm!L184</f>
        <v>#DIV/0!</v>
      </c>
      <c r="N55" s="160" t="e">
        <f>Programm!N184</f>
        <v>#DIV/0!</v>
      </c>
      <c r="O55" s="160" t="e">
        <f>Programm!O184</f>
        <v>#DIV/0!</v>
      </c>
      <c r="P55" s="160" t="e">
        <f>Programm!P184</f>
        <v>#DIV/0!</v>
      </c>
      <c r="Q55" s="160" t="e">
        <f>Programm!Q184</f>
        <v>#DIV/0!</v>
      </c>
      <c r="R55" s="160" t="e">
        <f>Programm!R184</f>
        <v>#DIV/0!</v>
      </c>
      <c r="S55" s="160" t="e">
        <f>Programm!S184</f>
        <v>#DIV/0!</v>
      </c>
      <c r="T55" s="160" t="e">
        <f>Programm!T184</f>
        <v>#DIV/0!</v>
      </c>
    </row>
    <row r="56" spans="1:20" s="152" customFormat="1" hidden="1" x14ac:dyDescent="0.2">
      <c r="A56" s="152">
        <f>Programm!A185</f>
        <v>0</v>
      </c>
      <c r="B56" s="159" t="str">
        <f>Programm!A46</f>
        <v>Übung 22</v>
      </c>
      <c r="C56" s="155"/>
      <c r="D56" s="155"/>
      <c r="E56" s="160">
        <f>IF(A56=0,0,Programm!EX46)</f>
        <v>0</v>
      </c>
      <c r="F56" s="152" t="e">
        <f>Programm!F185</f>
        <v>#DIV/0!</v>
      </c>
      <c r="G56" s="152" t="e">
        <f>Programm!G185</f>
        <v>#DIV/0!</v>
      </c>
      <c r="H56" s="152" t="e">
        <f>Programm!H185</f>
        <v>#DIV/0!</v>
      </c>
      <c r="I56" s="152" t="e">
        <f>Programm!I185</f>
        <v>#DIV/0!</v>
      </c>
      <c r="J56" s="152" t="e">
        <f>Programm!J185</f>
        <v>#DIV/0!</v>
      </c>
      <c r="K56" s="152" t="e">
        <f>Programm!K185</f>
        <v>#DIV/0!</v>
      </c>
      <c r="L56" s="152" t="e">
        <f>Programm!L185</f>
        <v>#DIV/0!</v>
      </c>
      <c r="N56" s="160" t="e">
        <f>Programm!N185</f>
        <v>#DIV/0!</v>
      </c>
      <c r="O56" s="160" t="e">
        <f>Programm!O185</f>
        <v>#DIV/0!</v>
      </c>
      <c r="P56" s="160" t="e">
        <f>Programm!P185</f>
        <v>#DIV/0!</v>
      </c>
      <c r="Q56" s="160" t="e">
        <f>Programm!Q185</f>
        <v>#DIV/0!</v>
      </c>
      <c r="R56" s="160" t="e">
        <f>Programm!R185</f>
        <v>#DIV/0!</v>
      </c>
      <c r="S56" s="160" t="e">
        <f>Programm!S185</f>
        <v>#DIV/0!</v>
      </c>
      <c r="T56" s="160" t="e">
        <f>Programm!T185</f>
        <v>#DIV/0!</v>
      </c>
    </row>
    <row r="57" spans="1:20" s="152" customFormat="1" hidden="1" x14ac:dyDescent="0.2">
      <c r="A57" s="152">
        <f>Programm!A186</f>
        <v>0</v>
      </c>
      <c r="B57" s="159">
        <f>Programm!A47</f>
        <v>0</v>
      </c>
      <c r="C57" s="155"/>
      <c r="D57" s="155"/>
      <c r="E57" s="160">
        <f>IF(A57=0,0,Programm!EX47)</f>
        <v>0</v>
      </c>
      <c r="F57" s="152" t="e">
        <f>Programm!F186</f>
        <v>#DIV/0!</v>
      </c>
      <c r="G57" s="152" t="e">
        <f>Programm!G186</f>
        <v>#DIV/0!</v>
      </c>
      <c r="H57" s="152" t="e">
        <f>Programm!H186</f>
        <v>#DIV/0!</v>
      </c>
      <c r="I57" s="152" t="e">
        <f>Programm!I186</f>
        <v>#DIV/0!</v>
      </c>
      <c r="J57" s="152" t="e">
        <f>Programm!J186</f>
        <v>#DIV/0!</v>
      </c>
      <c r="K57" s="152" t="e">
        <f>Programm!K186</f>
        <v>#DIV/0!</v>
      </c>
      <c r="L57" s="152" t="e">
        <f>Programm!L186</f>
        <v>#DIV/0!</v>
      </c>
      <c r="N57" s="160" t="e">
        <f>Programm!N186</f>
        <v>#DIV/0!</v>
      </c>
      <c r="O57" s="160" t="e">
        <f>Programm!O186</f>
        <v>#DIV/0!</v>
      </c>
      <c r="P57" s="160" t="e">
        <f>Programm!P186</f>
        <v>#DIV/0!</v>
      </c>
      <c r="Q57" s="160" t="e">
        <f>Programm!Q186</f>
        <v>#DIV/0!</v>
      </c>
      <c r="R57" s="160" t="e">
        <f>Programm!R186</f>
        <v>#DIV/0!</v>
      </c>
      <c r="S57" s="160" t="e">
        <f>Programm!S186</f>
        <v>#DIV/0!</v>
      </c>
      <c r="T57" s="160" t="e">
        <f>Programm!T186</f>
        <v>#DIV/0!</v>
      </c>
    </row>
    <row r="58" spans="1:20" s="152" customFormat="1" hidden="1" x14ac:dyDescent="0.2">
      <c r="A58" s="152">
        <f>Programm!A187</f>
        <v>0</v>
      </c>
      <c r="B58" s="159" t="str">
        <f>Programm!A48</f>
        <v>Übung 23</v>
      </c>
      <c r="C58" s="155"/>
      <c r="D58" s="155"/>
      <c r="E58" s="160">
        <f>IF(A58=0,0,Programm!EX48)</f>
        <v>0</v>
      </c>
      <c r="F58" s="152" t="e">
        <f>Programm!F187</f>
        <v>#DIV/0!</v>
      </c>
      <c r="G58" s="152" t="e">
        <f>Programm!G187</f>
        <v>#DIV/0!</v>
      </c>
      <c r="H58" s="152" t="e">
        <f>Programm!H187</f>
        <v>#DIV/0!</v>
      </c>
      <c r="I58" s="152" t="e">
        <f>Programm!I187</f>
        <v>#DIV/0!</v>
      </c>
      <c r="J58" s="152" t="e">
        <f>Programm!J187</f>
        <v>#DIV/0!</v>
      </c>
      <c r="K58" s="152" t="e">
        <f>Programm!K187</f>
        <v>#DIV/0!</v>
      </c>
      <c r="L58" s="152" t="e">
        <f>Programm!L187</f>
        <v>#DIV/0!</v>
      </c>
      <c r="N58" s="160" t="e">
        <f>Programm!N187</f>
        <v>#DIV/0!</v>
      </c>
      <c r="O58" s="160" t="e">
        <f>Programm!O187</f>
        <v>#DIV/0!</v>
      </c>
      <c r="P58" s="160" t="e">
        <f>Programm!P187</f>
        <v>#DIV/0!</v>
      </c>
      <c r="Q58" s="160" t="e">
        <f>Programm!Q187</f>
        <v>#DIV/0!</v>
      </c>
      <c r="R58" s="160" t="e">
        <f>Programm!R187</f>
        <v>#DIV/0!</v>
      </c>
      <c r="S58" s="160" t="e">
        <f>Programm!S187</f>
        <v>#DIV/0!</v>
      </c>
      <c r="T58" s="160" t="e">
        <f>Programm!T187</f>
        <v>#DIV/0!</v>
      </c>
    </row>
    <row r="59" spans="1:20" s="152" customFormat="1" hidden="1" x14ac:dyDescent="0.2">
      <c r="A59" s="152">
        <f>Programm!A188</f>
        <v>0</v>
      </c>
      <c r="B59" s="159">
        <f>Programm!A49</f>
        <v>0</v>
      </c>
      <c r="C59" s="155"/>
      <c r="D59" s="155"/>
      <c r="E59" s="160">
        <f>IF(A59=0,0,Programm!EX49)</f>
        <v>0</v>
      </c>
      <c r="F59" s="152" t="e">
        <f>Programm!F188</f>
        <v>#DIV/0!</v>
      </c>
      <c r="G59" s="152" t="e">
        <f>Programm!G188</f>
        <v>#DIV/0!</v>
      </c>
      <c r="H59" s="152" t="e">
        <f>Programm!H188</f>
        <v>#DIV/0!</v>
      </c>
      <c r="I59" s="152" t="e">
        <f>Programm!I188</f>
        <v>#DIV/0!</v>
      </c>
      <c r="J59" s="152" t="e">
        <f>Programm!J188</f>
        <v>#DIV/0!</v>
      </c>
      <c r="K59" s="152" t="e">
        <f>Programm!K188</f>
        <v>#DIV/0!</v>
      </c>
      <c r="L59" s="152" t="e">
        <f>Programm!L188</f>
        <v>#DIV/0!</v>
      </c>
      <c r="N59" s="160" t="e">
        <f>Programm!N188</f>
        <v>#DIV/0!</v>
      </c>
      <c r="O59" s="160" t="e">
        <f>Programm!O188</f>
        <v>#DIV/0!</v>
      </c>
      <c r="P59" s="160" t="e">
        <f>Programm!P188</f>
        <v>#DIV/0!</v>
      </c>
      <c r="Q59" s="160" t="e">
        <f>Programm!Q188</f>
        <v>#DIV/0!</v>
      </c>
      <c r="R59" s="160" t="e">
        <f>Programm!R188</f>
        <v>#DIV/0!</v>
      </c>
      <c r="S59" s="160" t="e">
        <f>Programm!S188</f>
        <v>#DIV/0!</v>
      </c>
      <c r="T59" s="160" t="e">
        <f>Programm!T188</f>
        <v>#DIV/0!</v>
      </c>
    </row>
    <row r="60" spans="1:20" s="152" customFormat="1" hidden="1" x14ac:dyDescent="0.2">
      <c r="A60" s="152">
        <f>Programm!A189</f>
        <v>0</v>
      </c>
      <c r="B60" s="159" t="str">
        <f>Programm!A50</f>
        <v>Übung 24</v>
      </c>
      <c r="C60" s="155"/>
      <c r="D60" s="155"/>
      <c r="E60" s="160">
        <f>IF(A60=0,0,Programm!EX50)</f>
        <v>0</v>
      </c>
      <c r="F60" s="152" t="e">
        <f>Programm!F189</f>
        <v>#DIV/0!</v>
      </c>
      <c r="G60" s="152" t="e">
        <f>Programm!G189</f>
        <v>#DIV/0!</v>
      </c>
      <c r="H60" s="152" t="e">
        <f>Programm!H189</f>
        <v>#DIV/0!</v>
      </c>
      <c r="I60" s="152" t="e">
        <f>Programm!I189</f>
        <v>#DIV/0!</v>
      </c>
      <c r="J60" s="152" t="e">
        <f>Programm!J189</f>
        <v>#DIV/0!</v>
      </c>
      <c r="K60" s="152" t="e">
        <f>Programm!K189</f>
        <v>#DIV/0!</v>
      </c>
      <c r="L60" s="152" t="e">
        <f>Programm!L189</f>
        <v>#DIV/0!</v>
      </c>
      <c r="N60" s="160" t="e">
        <f>Programm!N189</f>
        <v>#DIV/0!</v>
      </c>
      <c r="O60" s="160" t="e">
        <f>Programm!O189</f>
        <v>#DIV/0!</v>
      </c>
      <c r="P60" s="160" t="e">
        <f>Programm!P189</f>
        <v>#DIV/0!</v>
      </c>
      <c r="Q60" s="160" t="e">
        <f>Programm!Q189</f>
        <v>#DIV/0!</v>
      </c>
      <c r="R60" s="160" t="e">
        <f>Programm!R189</f>
        <v>#DIV/0!</v>
      </c>
      <c r="S60" s="160" t="e">
        <f>Programm!S189</f>
        <v>#DIV/0!</v>
      </c>
      <c r="T60" s="160" t="e">
        <f>Programm!T189</f>
        <v>#DIV/0!</v>
      </c>
    </row>
    <row r="61" spans="1:20" s="152" customFormat="1" hidden="1" x14ac:dyDescent="0.2">
      <c r="A61" s="152">
        <f>Programm!A190</f>
        <v>0</v>
      </c>
      <c r="B61" s="159">
        <f>Programm!A51</f>
        <v>0</v>
      </c>
      <c r="C61" s="155"/>
      <c r="D61" s="155"/>
      <c r="E61" s="160">
        <f>IF(A61=0,0,Programm!EX51)</f>
        <v>0</v>
      </c>
      <c r="F61" s="152" t="e">
        <f>Programm!F190</f>
        <v>#DIV/0!</v>
      </c>
      <c r="G61" s="152" t="e">
        <f>Programm!G190</f>
        <v>#DIV/0!</v>
      </c>
      <c r="H61" s="152" t="e">
        <f>Programm!H190</f>
        <v>#DIV/0!</v>
      </c>
      <c r="I61" s="152" t="e">
        <f>Programm!I190</f>
        <v>#DIV/0!</v>
      </c>
      <c r="J61" s="152" t="e">
        <f>Programm!J190</f>
        <v>#DIV/0!</v>
      </c>
      <c r="K61" s="152" t="e">
        <f>Programm!K190</f>
        <v>#DIV/0!</v>
      </c>
      <c r="L61" s="152" t="e">
        <f>Programm!L190</f>
        <v>#DIV/0!</v>
      </c>
      <c r="N61" s="160" t="e">
        <f>Programm!N190</f>
        <v>#DIV/0!</v>
      </c>
      <c r="O61" s="160" t="e">
        <f>Programm!O190</f>
        <v>#DIV/0!</v>
      </c>
      <c r="P61" s="160" t="e">
        <f>Programm!P190</f>
        <v>#DIV/0!</v>
      </c>
      <c r="Q61" s="160" t="e">
        <f>Programm!Q190</f>
        <v>#DIV/0!</v>
      </c>
      <c r="R61" s="160" t="e">
        <f>Programm!R190</f>
        <v>#DIV/0!</v>
      </c>
      <c r="S61" s="160" t="e">
        <f>Programm!S190</f>
        <v>#DIV/0!</v>
      </c>
      <c r="T61" s="160" t="e">
        <f>Programm!T190</f>
        <v>#DIV/0!</v>
      </c>
    </row>
    <row r="62" spans="1:20" s="152" customFormat="1" hidden="1" x14ac:dyDescent="0.2">
      <c r="A62" s="152">
        <f>Programm!A191</f>
        <v>0</v>
      </c>
      <c r="B62" s="159" t="str">
        <f>Programm!A52</f>
        <v>Übung 25</v>
      </c>
      <c r="C62" s="155"/>
      <c r="D62" s="155"/>
      <c r="E62" s="160">
        <f>IF(A62=0,0,Programm!EX52)</f>
        <v>0</v>
      </c>
      <c r="F62" s="152" t="e">
        <f>Programm!F191</f>
        <v>#DIV/0!</v>
      </c>
      <c r="G62" s="152" t="e">
        <f>Programm!G191</f>
        <v>#DIV/0!</v>
      </c>
      <c r="H62" s="152" t="e">
        <f>Programm!H191</f>
        <v>#DIV/0!</v>
      </c>
      <c r="I62" s="152" t="e">
        <f>Programm!I191</f>
        <v>#DIV/0!</v>
      </c>
      <c r="J62" s="152" t="e">
        <f>Programm!J191</f>
        <v>#DIV/0!</v>
      </c>
      <c r="K62" s="152" t="e">
        <f>Programm!K191</f>
        <v>#DIV/0!</v>
      </c>
      <c r="L62" s="152" t="e">
        <f>Programm!L191</f>
        <v>#DIV/0!</v>
      </c>
      <c r="N62" s="160" t="e">
        <f>Programm!N191</f>
        <v>#DIV/0!</v>
      </c>
      <c r="O62" s="160" t="e">
        <f>Programm!O191</f>
        <v>#DIV/0!</v>
      </c>
      <c r="P62" s="160" t="e">
        <f>Programm!P191</f>
        <v>#DIV/0!</v>
      </c>
      <c r="Q62" s="160" t="e">
        <f>Programm!Q191</f>
        <v>#DIV/0!</v>
      </c>
      <c r="R62" s="160" t="e">
        <f>Programm!R191</f>
        <v>#DIV/0!</v>
      </c>
      <c r="S62" s="160" t="e">
        <f>Programm!S191</f>
        <v>#DIV/0!</v>
      </c>
      <c r="T62" s="160" t="e">
        <f>Programm!T191</f>
        <v>#DIV/0!</v>
      </c>
    </row>
    <row r="63" spans="1:20" s="152" customFormat="1" hidden="1" x14ac:dyDescent="0.2">
      <c r="A63" s="152">
        <f>Programm!A192</f>
        <v>0</v>
      </c>
      <c r="B63" s="159">
        <f>Programm!A53</f>
        <v>0</v>
      </c>
      <c r="C63" s="155"/>
      <c r="D63" s="155"/>
      <c r="E63" s="160">
        <f>IF(A63=0,0,Programm!EX53)</f>
        <v>0</v>
      </c>
      <c r="F63" s="152" t="e">
        <f>Programm!F192</f>
        <v>#DIV/0!</v>
      </c>
      <c r="G63" s="152" t="e">
        <f>Programm!G192</f>
        <v>#DIV/0!</v>
      </c>
      <c r="H63" s="152" t="e">
        <f>Programm!H192</f>
        <v>#DIV/0!</v>
      </c>
      <c r="I63" s="152" t="e">
        <f>Programm!I192</f>
        <v>#DIV/0!</v>
      </c>
      <c r="J63" s="152" t="e">
        <f>Programm!J192</f>
        <v>#DIV/0!</v>
      </c>
      <c r="K63" s="152" t="e">
        <f>Programm!K192</f>
        <v>#DIV/0!</v>
      </c>
      <c r="L63" s="152" t="e">
        <f>Programm!L192</f>
        <v>#DIV/0!</v>
      </c>
      <c r="N63" s="160" t="e">
        <f>Programm!N192</f>
        <v>#DIV/0!</v>
      </c>
      <c r="O63" s="160" t="e">
        <f>Programm!O192</f>
        <v>#DIV/0!</v>
      </c>
      <c r="P63" s="160" t="e">
        <f>Programm!P192</f>
        <v>#DIV/0!</v>
      </c>
      <c r="Q63" s="160" t="e">
        <f>Programm!Q192</f>
        <v>#DIV/0!</v>
      </c>
      <c r="R63" s="160" t="e">
        <f>Programm!R192</f>
        <v>#DIV/0!</v>
      </c>
      <c r="S63" s="160" t="e">
        <f>Programm!S192</f>
        <v>#DIV/0!</v>
      </c>
      <c r="T63" s="160" t="e">
        <f>Programm!T192</f>
        <v>#DIV/0!</v>
      </c>
    </row>
    <row r="64" spans="1:20" s="152" customFormat="1" hidden="1" x14ac:dyDescent="0.2">
      <c r="A64" s="152">
        <f>Programm!A193</f>
        <v>0</v>
      </c>
      <c r="B64" s="159" t="str">
        <f>Programm!A54</f>
        <v>Übung 26</v>
      </c>
      <c r="C64" s="155"/>
      <c r="D64" s="155"/>
      <c r="E64" s="160">
        <f>IF(A64=0,0,Programm!EX54)</f>
        <v>0</v>
      </c>
      <c r="F64" s="152" t="e">
        <f>Programm!F193</f>
        <v>#DIV/0!</v>
      </c>
      <c r="G64" s="152" t="e">
        <f>Programm!G193</f>
        <v>#DIV/0!</v>
      </c>
      <c r="H64" s="152" t="e">
        <f>Programm!H193</f>
        <v>#DIV/0!</v>
      </c>
      <c r="I64" s="152" t="e">
        <f>Programm!I193</f>
        <v>#DIV/0!</v>
      </c>
      <c r="J64" s="152" t="e">
        <f>Programm!J193</f>
        <v>#DIV/0!</v>
      </c>
      <c r="K64" s="152" t="e">
        <f>Programm!K193</f>
        <v>#DIV/0!</v>
      </c>
      <c r="L64" s="152" t="e">
        <f>Programm!L193</f>
        <v>#DIV/0!</v>
      </c>
      <c r="N64" s="160" t="e">
        <f>Programm!N193</f>
        <v>#DIV/0!</v>
      </c>
      <c r="O64" s="160" t="e">
        <f>Programm!O193</f>
        <v>#DIV/0!</v>
      </c>
      <c r="P64" s="160" t="e">
        <f>Programm!P193</f>
        <v>#DIV/0!</v>
      </c>
      <c r="Q64" s="160" t="e">
        <f>Programm!Q193</f>
        <v>#DIV/0!</v>
      </c>
      <c r="R64" s="160" t="e">
        <f>Programm!R193</f>
        <v>#DIV/0!</v>
      </c>
      <c r="S64" s="160" t="e">
        <f>Programm!S193</f>
        <v>#DIV/0!</v>
      </c>
      <c r="T64" s="160" t="e">
        <f>Programm!T193</f>
        <v>#DIV/0!</v>
      </c>
    </row>
    <row r="65" spans="1:20" s="152" customFormat="1" hidden="1" x14ac:dyDescent="0.2">
      <c r="A65" s="152">
        <f>Programm!A194</f>
        <v>0</v>
      </c>
      <c r="B65" s="159">
        <f>Programm!A55</f>
        <v>0</v>
      </c>
      <c r="C65" s="155"/>
      <c r="D65" s="155"/>
      <c r="E65" s="160">
        <f>IF(A65=0,0,Programm!EX55)</f>
        <v>0</v>
      </c>
      <c r="F65" s="152" t="e">
        <f>Programm!F194</f>
        <v>#DIV/0!</v>
      </c>
      <c r="G65" s="152" t="e">
        <f>Programm!G194</f>
        <v>#DIV/0!</v>
      </c>
      <c r="H65" s="152" t="e">
        <f>Programm!H194</f>
        <v>#DIV/0!</v>
      </c>
      <c r="I65" s="152" t="e">
        <f>Programm!I194</f>
        <v>#DIV/0!</v>
      </c>
      <c r="J65" s="152" t="e">
        <f>Programm!J194</f>
        <v>#DIV/0!</v>
      </c>
      <c r="K65" s="152" t="e">
        <f>Programm!K194</f>
        <v>#DIV/0!</v>
      </c>
      <c r="L65" s="152" t="e">
        <f>Programm!L194</f>
        <v>#DIV/0!</v>
      </c>
      <c r="N65" s="160" t="e">
        <f>Programm!N194</f>
        <v>#DIV/0!</v>
      </c>
      <c r="O65" s="160" t="e">
        <f>Programm!O194</f>
        <v>#DIV/0!</v>
      </c>
      <c r="P65" s="160" t="e">
        <f>Programm!P194</f>
        <v>#DIV/0!</v>
      </c>
      <c r="Q65" s="160" t="e">
        <f>Programm!Q194</f>
        <v>#DIV/0!</v>
      </c>
      <c r="R65" s="160" t="e">
        <f>Programm!R194</f>
        <v>#DIV/0!</v>
      </c>
      <c r="S65" s="160" t="e">
        <f>Programm!S194</f>
        <v>#DIV/0!</v>
      </c>
      <c r="T65" s="160" t="e">
        <f>Programm!T194</f>
        <v>#DIV/0!</v>
      </c>
    </row>
    <row r="66" spans="1:20" s="152" customFormat="1" hidden="1" x14ac:dyDescent="0.2">
      <c r="A66" s="152">
        <f>Programm!A195</f>
        <v>0</v>
      </c>
      <c r="B66" s="159" t="str">
        <f>Programm!A56</f>
        <v>Übung 27</v>
      </c>
      <c r="C66" s="155"/>
      <c r="D66" s="155"/>
      <c r="E66" s="160">
        <f>IF(A66=0,0,Programm!EX56)</f>
        <v>0</v>
      </c>
      <c r="F66" s="152" t="e">
        <f>Programm!F195</f>
        <v>#DIV/0!</v>
      </c>
      <c r="G66" s="152" t="e">
        <f>Programm!G195</f>
        <v>#DIV/0!</v>
      </c>
      <c r="H66" s="152" t="e">
        <f>Programm!H195</f>
        <v>#DIV/0!</v>
      </c>
      <c r="I66" s="152" t="e">
        <f>Programm!I195</f>
        <v>#DIV/0!</v>
      </c>
      <c r="J66" s="152" t="e">
        <f>Programm!J195</f>
        <v>#DIV/0!</v>
      </c>
      <c r="K66" s="152" t="e">
        <f>Programm!K195</f>
        <v>#DIV/0!</v>
      </c>
      <c r="L66" s="152" t="e">
        <f>Programm!L195</f>
        <v>#DIV/0!</v>
      </c>
      <c r="N66" s="160" t="e">
        <f>Programm!N195</f>
        <v>#DIV/0!</v>
      </c>
      <c r="O66" s="160" t="e">
        <f>Programm!O195</f>
        <v>#DIV/0!</v>
      </c>
      <c r="P66" s="160" t="e">
        <f>Programm!P195</f>
        <v>#DIV/0!</v>
      </c>
      <c r="Q66" s="160" t="e">
        <f>Programm!Q195</f>
        <v>#DIV/0!</v>
      </c>
      <c r="R66" s="160" t="e">
        <f>Programm!R195</f>
        <v>#DIV/0!</v>
      </c>
      <c r="S66" s="160" t="e">
        <f>Programm!S195</f>
        <v>#DIV/0!</v>
      </c>
      <c r="T66" s="160" t="e">
        <f>Programm!T195</f>
        <v>#DIV/0!</v>
      </c>
    </row>
    <row r="67" spans="1:20" s="152" customFormat="1" hidden="1" x14ac:dyDescent="0.2">
      <c r="A67" s="152">
        <f>Programm!A196</f>
        <v>0</v>
      </c>
      <c r="B67" s="159">
        <f>Programm!A57</f>
        <v>0</v>
      </c>
      <c r="C67" s="155"/>
      <c r="D67" s="155"/>
      <c r="E67" s="160">
        <f>IF(A67=0,0,Programm!EX57)</f>
        <v>0</v>
      </c>
      <c r="F67" s="152" t="e">
        <f>Programm!F196</f>
        <v>#DIV/0!</v>
      </c>
      <c r="G67" s="152" t="e">
        <f>Programm!G196</f>
        <v>#DIV/0!</v>
      </c>
      <c r="H67" s="152" t="e">
        <f>Programm!H196</f>
        <v>#DIV/0!</v>
      </c>
      <c r="I67" s="152" t="e">
        <f>Programm!I196</f>
        <v>#DIV/0!</v>
      </c>
      <c r="J67" s="152" t="e">
        <f>Programm!J196</f>
        <v>#DIV/0!</v>
      </c>
      <c r="K67" s="152" t="e">
        <f>Programm!K196</f>
        <v>#DIV/0!</v>
      </c>
      <c r="L67" s="152" t="e">
        <f>Programm!L196</f>
        <v>#DIV/0!</v>
      </c>
      <c r="N67" s="160" t="e">
        <f>Programm!N196</f>
        <v>#DIV/0!</v>
      </c>
      <c r="O67" s="160" t="e">
        <f>Programm!O196</f>
        <v>#DIV/0!</v>
      </c>
      <c r="P67" s="160" t="e">
        <f>Programm!P196</f>
        <v>#DIV/0!</v>
      </c>
      <c r="Q67" s="160" t="e">
        <f>Programm!Q196</f>
        <v>#DIV/0!</v>
      </c>
      <c r="R67" s="160" t="e">
        <f>Programm!R196</f>
        <v>#DIV/0!</v>
      </c>
      <c r="S67" s="160" t="e">
        <f>Programm!S196</f>
        <v>#DIV/0!</v>
      </c>
      <c r="T67" s="160" t="e">
        <f>Programm!T196</f>
        <v>#DIV/0!</v>
      </c>
    </row>
    <row r="68" spans="1:20" s="152" customFormat="1" hidden="1" x14ac:dyDescent="0.2">
      <c r="A68" s="152">
        <f>Programm!A197</f>
        <v>0</v>
      </c>
      <c r="B68" s="159" t="str">
        <f>Programm!A58</f>
        <v>Übung 28</v>
      </c>
      <c r="C68" s="155"/>
      <c r="D68" s="155"/>
      <c r="E68" s="160">
        <f>IF(A68=0,0,Programm!EX58)</f>
        <v>0</v>
      </c>
      <c r="F68" s="152" t="e">
        <f>Programm!F197</f>
        <v>#DIV/0!</v>
      </c>
      <c r="G68" s="152" t="e">
        <f>Programm!G197</f>
        <v>#DIV/0!</v>
      </c>
      <c r="H68" s="152" t="e">
        <f>Programm!H197</f>
        <v>#DIV/0!</v>
      </c>
      <c r="I68" s="152" t="e">
        <f>Programm!I197</f>
        <v>#DIV/0!</v>
      </c>
      <c r="J68" s="152" t="e">
        <f>Programm!J197</f>
        <v>#DIV/0!</v>
      </c>
      <c r="K68" s="152" t="e">
        <f>Programm!K197</f>
        <v>#DIV/0!</v>
      </c>
      <c r="L68" s="152" t="e">
        <f>Programm!L197</f>
        <v>#DIV/0!</v>
      </c>
      <c r="N68" s="160" t="e">
        <f>Programm!N197</f>
        <v>#DIV/0!</v>
      </c>
      <c r="O68" s="160" t="e">
        <f>Programm!O197</f>
        <v>#DIV/0!</v>
      </c>
      <c r="P68" s="160" t="e">
        <f>Programm!P197</f>
        <v>#DIV/0!</v>
      </c>
      <c r="Q68" s="160" t="e">
        <f>Programm!Q197</f>
        <v>#DIV/0!</v>
      </c>
      <c r="R68" s="160" t="e">
        <f>Programm!R197</f>
        <v>#DIV/0!</v>
      </c>
      <c r="S68" s="160" t="e">
        <f>Programm!S197</f>
        <v>#DIV/0!</v>
      </c>
      <c r="T68" s="160" t="e">
        <f>Programm!T197</f>
        <v>#DIV/0!</v>
      </c>
    </row>
    <row r="69" spans="1:20" s="152" customFormat="1" hidden="1" x14ac:dyDescent="0.2">
      <c r="A69" s="152">
        <f>Programm!A198</f>
        <v>0</v>
      </c>
      <c r="B69" s="156">
        <f>Programm!A59</f>
        <v>0</v>
      </c>
      <c r="C69" s="155"/>
      <c r="D69" s="155"/>
      <c r="E69" s="160">
        <f>IF(A69=0,0,Programm!EX59)</f>
        <v>0</v>
      </c>
      <c r="F69" s="152" t="e">
        <f>Programm!F198</f>
        <v>#DIV/0!</v>
      </c>
      <c r="G69" s="152" t="e">
        <f>Programm!G198</f>
        <v>#DIV/0!</v>
      </c>
      <c r="H69" s="152" t="e">
        <f>Programm!H198</f>
        <v>#DIV/0!</v>
      </c>
      <c r="I69" s="152" t="e">
        <f>Programm!I198</f>
        <v>#DIV/0!</v>
      </c>
      <c r="J69" s="152" t="e">
        <f>Programm!J198</f>
        <v>#DIV/0!</v>
      </c>
      <c r="K69" s="152" t="e">
        <f>Programm!K198</f>
        <v>#DIV/0!</v>
      </c>
      <c r="L69" s="152" t="e">
        <f>Programm!L198</f>
        <v>#DIV/0!</v>
      </c>
      <c r="N69" s="160" t="e">
        <f>Programm!N198</f>
        <v>#DIV/0!</v>
      </c>
      <c r="O69" s="160" t="e">
        <f>Programm!O198</f>
        <v>#DIV/0!</v>
      </c>
      <c r="P69" s="160" t="e">
        <f>Programm!P198</f>
        <v>#DIV/0!</v>
      </c>
      <c r="Q69" s="160" t="e">
        <f>Programm!Q198</f>
        <v>#DIV/0!</v>
      </c>
      <c r="R69" s="160" t="e">
        <f>Programm!R198</f>
        <v>#DIV/0!</v>
      </c>
      <c r="S69" s="160" t="e">
        <f>Programm!S198</f>
        <v>#DIV/0!</v>
      </c>
      <c r="T69" s="160" t="e">
        <f>Programm!T198</f>
        <v>#DIV/0!</v>
      </c>
    </row>
    <row r="70" spans="1:20" x14ac:dyDescent="0.2">
      <c r="A70" s="153">
        <f>Programm!A199</f>
        <v>0</v>
      </c>
      <c r="B70" s="159" t="str">
        <f>Programm!A60</f>
        <v>Übung 29</v>
      </c>
      <c r="C70" s="161"/>
      <c r="D70" s="161"/>
      <c r="E70" s="166">
        <f>IF(A70=0,0,Programm!EX60)</f>
        <v>0</v>
      </c>
      <c r="F70" s="153" t="e">
        <f>Programm!F199</f>
        <v>#DIV/0!</v>
      </c>
      <c r="G70" s="153" t="e">
        <f>Programm!G199</f>
        <v>#DIV/0!</v>
      </c>
      <c r="H70" s="153" t="e">
        <f>Programm!H199</f>
        <v>#DIV/0!</v>
      </c>
      <c r="I70" s="153" t="e">
        <f>Programm!I199</f>
        <v>#DIV/0!</v>
      </c>
      <c r="J70" s="153" t="e">
        <f>Programm!J199</f>
        <v>#DIV/0!</v>
      </c>
      <c r="K70" s="153" t="e">
        <f>Programm!K199</f>
        <v>#DIV/0!</v>
      </c>
      <c r="L70" s="153" t="e">
        <f>Programm!L199</f>
        <v>#DIV/0!</v>
      </c>
      <c r="N70" s="166" t="e">
        <f>Programm!N199</f>
        <v>#DIV/0!</v>
      </c>
      <c r="O70" s="166" t="e">
        <f>Programm!O199</f>
        <v>#DIV/0!</v>
      </c>
      <c r="P70" s="166" t="e">
        <f>Programm!P199</f>
        <v>#DIV/0!</v>
      </c>
      <c r="Q70" s="166" t="e">
        <f>Programm!Q199</f>
        <v>#DIV/0!</v>
      </c>
      <c r="R70" s="166" t="e">
        <f>Programm!R199</f>
        <v>#DIV/0!</v>
      </c>
      <c r="S70" s="166" t="e">
        <f>Programm!S199</f>
        <v>#DIV/0!</v>
      </c>
      <c r="T70" s="166" t="e">
        <f>Programm!T199</f>
        <v>#DIV/0!</v>
      </c>
    </row>
    <row r="71" spans="1:20" s="152" customFormat="1" hidden="1" x14ac:dyDescent="0.2">
      <c r="A71" s="152">
        <f>Programm!A200</f>
        <v>0</v>
      </c>
      <c r="B71" s="159">
        <f>Programm!A61</f>
        <v>0</v>
      </c>
      <c r="C71" s="155"/>
      <c r="D71" s="155"/>
      <c r="E71" s="160">
        <f>IF(A71=0,0,Programm!EX61)</f>
        <v>0</v>
      </c>
      <c r="F71" s="152" t="e">
        <f>Programm!F200</f>
        <v>#DIV/0!</v>
      </c>
      <c r="G71" s="152" t="e">
        <f>Programm!G200</f>
        <v>#DIV/0!</v>
      </c>
      <c r="H71" s="152" t="e">
        <f>Programm!H200</f>
        <v>#DIV/0!</v>
      </c>
      <c r="I71" s="152" t="e">
        <f>Programm!I200</f>
        <v>#DIV/0!</v>
      </c>
      <c r="J71" s="152" t="e">
        <f>Programm!J200</f>
        <v>#DIV/0!</v>
      </c>
      <c r="K71" s="152" t="e">
        <f>Programm!K200</f>
        <v>#DIV/0!</v>
      </c>
      <c r="L71" s="152" t="e">
        <f>Programm!L200</f>
        <v>#DIV/0!</v>
      </c>
      <c r="N71" s="160" t="e">
        <f>Programm!N200</f>
        <v>#DIV/0!</v>
      </c>
      <c r="O71" s="160" t="e">
        <f>Programm!O200</f>
        <v>#DIV/0!</v>
      </c>
      <c r="P71" s="160" t="e">
        <f>Programm!P200</f>
        <v>#DIV/0!</v>
      </c>
      <c r="Q71" s="160" t="e">
        <f>Programm!Q200</f>
        <v>#DIV/0!</v>
      </c>
      <c r="R71" s="160" t="e">
        <f>Programm!R200</f>
        <v>#DIV/0!</v>
      </c>
      <c r="S71" s="160" t="e">
        <f>Programm!S200</f>
        <v>#DIV/0!</v>
      </c>
      <c r="T71" s="160" t="e">
        <f>Programm!T200</f>
        <v>#DIV/0!</v>
      </c>
    </row>
    <row r="72" spans="1:20" x14ac:dyDescent="0.2">
      <c r="A72" s="153">
        <f>Programm!A201</f>
        <v>0</v>
      </c>
      <c r="B72" s="159" t="str">
        <f>Programm!A62</f>
        <v>Übung 30</v>
      </c>
      <c r="C72" s="161"/>
      <c r="D72" s="161"/>
      <c r="E72" s="166">
        <f>IF(A72=0,0,Programm!EX62)</f>
        <v>0</v>
      </c>
      <c r="F72" s="153" t="e">
        <f>Programm!F201</f>
        <v>#DIV/0!</v>
      </c>
      <c r="G72" s="153" t="e">
        <f>Programm!G201</f>
        <v>#DIV/0!</v>
      </c>
      <c r="H72" s="153" t="e">
        <f>Programm!H201</f>
        <v>#DIV/0!</v>
      </c>
      <c r="I72" s="153" t="e">
        <f>Programm!I201</f>
        <v>#DIV/0!</v>
      </c>
      <c r="J72" s="153" t="e">
        <f>Programm!J201</f>
        <v>#DIV/0!</v>
      </c>
      <c r="K72" s="153" t="e">
        <f>Programm!K201</f>
        <v>#DIV/0!</v>
      </c>
      <c r="L72" s="153" t="e">
        <f>Programm!L201</f>
        <v>#DIV/0!</v>
      </c>
      <c r="N72" s="166" t="e">
        <f>Programm!N201</f>
        <v>#DIV/0!</v>
      </c>
      <c r="O72" s="166" t="e">
        <f>Programm!O201</f>
        <v>#DIV/0!</v>
      </c>
      <c r="P72" s="166" t="e">
        <f>Programm!P201</f>
        <v>#DIV/0!</v>
      </c>
      <c r="Q72" s="166" t="e">
        <f>Programm!Q201</f>
        <v>#DIV/0!</v>
      </c>
      <c r="R72" s="166" t="e">
        <f>Programm!R201</f>
        <v>#DIV/0!</v>
      </c>
      <c r="S72" s="166" t="e">
        <f>Programm!S201</f>
        <v>#DIV/0!</v>
      </c>
      <c r="T72" s="166" t="e">
        <f>Programm!T201</f>
        <v>#DIV/0!</v>
      </c>
    </row>
  </sheetData>
  <sheetProtection password="E42C" sheet="1" objects="1" scenarios="1" selectLockedCells="1" selectUnlockedCells="1"/>
  <phoneticPr fontId="7" type="noConversion"/>
  <conditionalFormatting sqref="B14:B72">
    <cfRule type="cellIs" dxfId="0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F325-4AC6-4402-A65B-A837828346F1}">
  <dimension ref="A1:S77"/>
  <sheetViews>
    <sheetView view="pageBreakPreview" zoomScaleNormal="100" workbookViewId="0"/>
  </sheetViews>
  <sheetFormatPr baseColWidth="10" defaultRowHeight="12.75" x14ac:dyDescent="0.2"/>
  <cols>
    <col min="1" max="1" width="2.42578125" customWidth="1"/>
    <col min="2" max="2" width="34.85546875" style="1" customWidth="1"/>
    <col min="3" max="3" width="5.42578125" style="177" bestFit="1" customWidth="1"/>
    <col min="4" max="6" width="5.28515625" style="218" customWidth="1"/>
    <col min="7" max="7" width="10.7109375" customWidth="1"/>
    <col min="8" max="10" width="5.28515625" customWidth="1"/>
    <col min="11" max="11" width="10.7109375" customWidth="1"/>
    <col min="12" max="14" width="5.28515625" style="218" customWidth="1"/>
    <col min="15" max="15" width="10.7109375" customWidth="1"/>
    <col min="16" max="18" width="5.28515625" style="218" customWidth="1"/>
    <col min="19" max="19" width="10.7109375" customWidth="1"/>
  </cols>
  <sheetData>
    <row r="1" spans="1:19" ht="19.5" thickTop="1" thickBot="1" x14ac:dyDescent="0.3">
      <c r="B1" s="176">
        <f>Programm!A1</f>
        <v>0</v>
      </c>
      <c r="D1" s="178" t="s">
        <v>47</v>
      </c>
      <c r="E1" s="179"/>
      <c r="F1" s="180"/>
      <c r="G1" s="181"/>
      <c r="H1" s="178" t="s">
        <v>47</v>
      </c>
      <c r="I1" s="179"/>
      <c r="J1" s="180"/>
      <c r="K1" s="181"/>
      <c r="L1" s="178" t="s">
        <v>47</v>
      </c>
      <c r="M1" s="179"/>
      <c r="N1" s="180"/>
      <c r="O1" s="181"/>
      <c r="P1" s="178" t="s">
        <v>47</v>
      </c>
      <c r="Q1" s="179"/>
      <c r="R1" s="180"/>
      <c r="S1" s="182"/>
    </row>
    <row r="2" spans="1:19" ht="15" customHeight="1" thickTop="1" thickBot="1" x14ac:dyDescent="0.25">
      <c r="D2" s="183" t="s">
        <v>48</v>
      </c>
      <c r="E2" s="184" t="s">
        <v>30</v>
      </c>
      <c r="F2" s="185" t="s">
        <v>49</v>
      </c>
      <c r="G2" s="186" t="s">
        <v>50</v>
      </c>
      <c r="H2" s="183" t="s">
        <v>48</v>
      </c>
      <c r="I2" s="184" t="s">
        <v>30</v>
      </c>
      <c r="J2" s="185" t="s">
        <v>49</v>
      </c>
      <c r="K2" s="186" t="s">
        <v>50</v>
      </c>
      <c r="L2" s="183" t="s">
        <v>48</v>
      </c>
      <c r="M2" s="184" t="s">
        <v>30</v>
      </c>
      <c r="N2" s="185" t="s">
        <v>49</v>
      </c>
      <c r="O2" s="186" t="s">
        <v>50</v>
      </c>
      <c r="P2" s="183" t="s">
        <v>48</v>
      </c>
      <c r="Q2" s="184" t="s">
        <v>30</v>
      </c>
      <c r="R2" s="185" t="s">
        <v>49</v>
      </c>
      <c r="S2" s="187" t="s">
        <v>50</v>
      </c>
    </row>
    <row r="3" spans="1:19" ht="15" customHeight="1" thickTop="1" x14ac:dyDescent="0.2">
      <c r="A3" s="188">
        <f>Programm!L4</f>
        <v>0</v>
      </c>
      <c r="B3" s="189" t="str">
        <f>Programm!A4</f>
        <v>Übung 1</v>
      </c>
      <c r="C3" s="190">
        <f>Programm!B4</f>
        <v>0</v>
      </c>
      <c r="D3" s="191"/>
      <c r="E3" s="192"/>
      <c r="F3" s="193"/>
      <c r="G3" s="194"/>
      <c r="H3" s="191"/>
      <c r="I3" s="192"/>
      <c r="J3" s="193"/>
      <c r="K3" s="194"/>
      <c r="L3" s="191"/>
      <c r="M3" s="192"/>
      <c r="N3" s="193"/>
      <c r="O3" s="194"/>
      <c r="P3" s="191"/>
      <c r="Q3" s="192"/>
      <c r="R3" s="193"/>
      <c r="S3" s="194"/>
    </row>
    <row r="4" spans="1:19" x14ac:dyDescent="0.2">
      <c r="A4" s="188">
        <f>Programm!L5</f>
        <v>0</v>
      </c>
      <c r="B4" s="195">
        <f>Programm!A5</f>
        <v>0</v>
      </c>
      <c r="C4" s="196">
        <f>Programm!B5</f>
        <v>0</v>
      </c>
      <c r="D4" s="197"/>
      <c r="E4" s="198"/>
      <c r="F4" s="199"/>
      <c r="G4" s="200"/>
      <c r="H4" s="197"/>
      <c r="I4" s="198"/>
      <c r="J4" s="199"/>
      <c r="K4" s="200"/>
      <c r="L4" s="197"/>
      <c r="M4" s="198"/>
      <c r="N4" s="199"/>
      <c r="O4" s="200"/>
      <c r="P4" s="197"/>
      <c r="Q4" s="198"/>
      <c r="R4" s="199"/>
      <c r="S4" s="200"/>
    </row>
    <row r="5" spans="1:19" ht="15" customHeight="1" x14ac:dyDescent="0.2">
      <c r="A5" s="188">
        <f>Programm!L6</f>
        <v>0</v>
      </c>
      <c r="B5" s="195" t="str">
        <f>Programm!A6</f>
        <v>Übung 2</v>
      </c>
      <c r="C5" s="196">
        <f>Programm!B6</f>
        <v>0</v>
      </c>
      <c r="D5" s="197"/>
      <c r="E5" s="198"/>
      <c r="F5" s="199"/>
      <c r="G5" s="200"/>
      <c r="H5" s="197"/>
      <c r="I5" s="198"/>
      <c r="J5" s="199"/>
      <c r="K5" s="200"/>
      <c r="L5" s="197"/>
      <c r="M5" s="198"/>
      <c r="N5" s="199"/>
      <c r="O5" s="200"/>
      <c r="P5" s="197"/>
      <c r="Q5" s="198"/>
      <c r="R5" s="199"/>
      <c r="S5" s="200"/>
    </row>
    <row r="6" spans="1:19" x14ac:dyDescent="0.2">
      <c r="A6" s="188">
        <f>Programm!L7</f>
        <v>0</v>
      </c>
      <c r="B6" s="195">
        <f>Programm!A7</f>
        <v>0</v>
      </c>
      <c r="C6" s="196">
        <f>Programm!B7</f>
        <v>0</v>
      </c>
      <c r="D6" s="197"/>
      <c r="E6" s="198"/>
      <c r="F6" s="199"/>
      <c r="G6" s="200"/>
      <c r="H6" s="197"/>
      <c r="I6" s="198"/>
      <c r="J6" s="199"/>
      <c r="K6" s="200"/>
      <c r="L6" s="197"/>
      <c r="M6" s="198"/>
      <c r="N6" s="199"/>
      <c r="O6" s="200"/>
      <c r="P6" s="197"/>
      <c r="Q6" s="198"/>
      <c r="R6" s="199"/>
      <c r="S6" s="200"/>
    </row>
    <row r="7" spans="1:19" ht="15" customHeight="1" x14ac:dyDescent="0.2">
      <c r="A7" s="188">
        <f>Programm!L8</f>
        <v>0</v>
      </c>
      <c r="B7" s="195" t="str">
        <f>Programm!A8</f>
        <v>Übung 3</v>
      </c>
      <c r="C7" s="196">
        <f>Programm!B8</f>
        <v>0</v>
      </c>
      <c r="D7" s="197"/>
      <c r="E7" s="198"/>
      <c r="F7" s="199"/>
      <c r="G7" s="200"/>
      <c r="H7" s="197"/>
      <c r="I7" s="198"/>
      <c r="J7" s="199"/>
      <c r="K7" s="200"/>
      <c r="L7" s="197"/>
      <c r="M7" s="198"/>
      <c r="N7" s="199"/>
      <c r="O7" s="200"/>
      <c r="P7" s="197"/>
      <c r="Q7" s="198"/>
      <c r="R7" s="199"/>
      <c r="S7" s="200"/>
    </row>
    <row r="8" spans="1:19" x14ac:dyDescent="0.2">
      <c r="A8" s="188">
        <f>Programm!L9</f>
        <v>0</v>
      </c>
      <c r="B8" s="195">
        <f>Programm!A9</f>
        <v>0</v>
      </c>
      <c r="C8" s="196">
        <f>Programm!B9</f>
        <v>0</v>
      </c>
      <c r="D8" s="197"/>
      <c r="E8" s="198"/>
      <c r="F8" s="199"/>
      <c r="G8" s="200"/>
      <c r="H8" s="197"/>
      <c r="I8" s="198"/>
      <c r="J8" s="199"/>
      <c r="K8" s="200"/>
      <c r="L8" s="197"/>
      <c r="M8" s="198"/>
      <c r="N8" s="199"/>
      <c r="O8" s="200"/>
      <c r="P8" s="197"/>
      <c r="Q8" s="198"/>
      <c r="R8" s="199"/>
      <c r="S8" s="200"/>
    </row>
    <row r="9" spans="1:19" ht="15" customHeight="1" x14ac:dyDescent="0.2">
      <c r="A9" s="188">
        <f>Programm!L10</f>
        <v>0</v>
      </c>
      <c r="B9" s="195" t="str">
        <f>Programm!A10</f>
        <v>Übung 4</v>
      </c>
      <c r="C9" s="196">
        <f>Programm!B10</f>
        <v>0</v>
      </c>
      <c r="D9" s="197"/>
      <c r="E9" s="198"/>
      <c r="F9" s="199"/>
      <c r="G9" s="200"/>
      <c r="H9" s="197"/>
      <c r="I9" s="198"/>
      <c r="J9" s="199"/>
      <c r="K9" s="200"/>
      <c r="L9" s="197"/>
      <c r="M9" s="198"/>
      <c r="N9" s="199"/>
      <c r="O9" s="200"/>
      <c r="P9" s="197"/>
      <c r="Q9" s="198"/>
      <c r="R9" s="199"/>
      <c r="S9" s="200"/>
    </row>
    <row r="10" spans="1:19" x14ac:dyDescent="0.2">
      <c r="A10" s="188">
        <f>Programm!L11</f>
        <v>0</v>
      </c>
      <c r="B10" s="195">
        <f>Programm!A11</f>
        <v>0</v>
      </c>
      <c r="C10" s="196">
        <f>Programm!B11</f>
        <v>0</v>
      </c>
      <c r="D10" s="197"/>
      <c r="E10" s="198"/>
      <c r="F10" s="199"/>
      <c r="G10" s="200"/>
      <c r="H10" s="197"/>
      <c r="I10" s="198"/>
      <c r="J10" s="199"/>
      <c r="K10" s="200"/>
      <c r="L10" s="197"/>
      <c r="M10" s="198"/>
      <c r="N10" s="199"/>
      <c r="O10" s="200"/>
      <c r="P10" s="197"/>
      <c r="Q10" s="198"/>
      <c r="R10" s="199"/>
      <c r="S10" s="200"/>
    </row>
    <row r="11" spans="1:19" ht="15" customHeight="1" x14ac:dyDescent="0.2">
      <c r="A11" s="188">
        <f>Programm!L12</f>
        <v>0</v>
      </c>
      <c r="B11" s="195" t="str">
        <f>Programm!A12</f>
        <v>Übung 5</v>
      </c>
      <c r="C11" s="196">
        <f>Programm!B12</f>
        <v>0</v>
      </c>
      <c r="D11" s="197"/>
      <c r="E11" s="198"/>
      <c r="F11" s="199"/>
      <c r="G11" s="200"/>
      <c r="H11" s="197"/>
      <c r="I11" s="198"/>
      <c r="J11" s="199"/>
      <c r="K11" s="200"/>
      <c r="L11" s="197"/>
      <c r="M11" s="198"/>
      <c r="N11" s="199"/>
      <c r="O11" s="200"/>
      <c r="P11" s="197"/>
      <c r="Q11" s="198"/>
      <c r="R11" s="199"/>
      <c r="S11" s="200"/>
    </row>
    <row r="12" spans="1:19" x14ac:dyDescent="0.2">
      <c r="A12" s="188">
        <f>Programm!L13</f>
        <v>0</v>
      </c>
      <c r="B12" s="195">
        <f>Programm!A13</f>
        <v>0</v>
      </c>
      <c r="C12" s="196">
        <f>Programm!B13</f>
        <v>0</v>
      </c>
      <c r="D12" s="197"/>
      <c r="E12" s="198"/>
      <c r="F12" s="199"/>
      <c r="G12" s="200"/>
      <c r="H12" s="197"/>
      <c r="I12" s="198"/>
      <c r="J12" s="199"/>
      <c r="K12" s="200"/>
      <c r="L12" s="197"/>
      <c r="M12" s="198"/>
      <c r="N12" s="199"/>
      <c r="O12" s="200"/>
      <c r="P12" s="197"/>
      <c r="Q12" s="198"/>
      <c r="R12" s="199"/>
      <c r="S12" s="200"/>
    </row>
    <row r="13" spans="1:19" ht="15" customHeight="1" x14ac:dyDescent="0.2">
      <c r="A13" s="188">
        <f>Programm!L14</f>
        <v>0</v>
      </c>
      <c r="B13" s="195" t="str">
        <f>Programm!A14</f>
        <v>Übung 6</v>
      </c>
      <c r="C13" s="196">
        <f>Programm!B14</f>
        <v>0</v>
      </c>
      <c r="D13" s="197"/>
      <c r="E13" s="198"/>
      <c r="F13" s="199"/>
      <c r="G13" s="200"/>
      <c r="H13" s="197"/>
      <c r="I13" s="198"/>
      <c r="J13" s="199"/>
      <c r="K13" s="200"/>
      <c r="L13" s="197"/>
      <c r="M13" s="198"/>
      <c r="N13" s="199"/>
      <c r="O13" s="200"/>
      <c r="P13" s="197"/>
      <c r="Q13" s="198"/>
      <c r="R13" s="199"/>
      <c r="S13" s="200"/>
    </row>
    <row r="14" spans="1:19" x14ac:dyDescent="0.2">
      <c r="A14" s="188">
        <f>Programm!L15</f>
        <v>0</v>
      </c>
      <c r="B14" s="195">
        <f>Programm!A15</f>
        <v>0</v>
      </c>
      <c r="C14" s="196">
        <f>Programm!B15</f>
        <v>0</v>
      </c>
      <c r="D14" s="197"/>
      <c r="E14" s="198"/>
      <c r="F14" s="199"/>
      <c r="G14" s="200"/>
      <c r="H14" s="197"/>
      <c r="I14" s="198"/>
      <c r="J14" s="199"/>
      <c r="K14" s="200"/>
      <c r="L14" s="197"/>
      <c r="M14" s="198"/>
      <c r="N14" s="199"/>
      <c r="O14" s="200"/>
      <c r="P14" s="197"/>
      <c r="Q14" s="198"/>
      <c r="R14" s="199"/>
      <c r="S14" s="200"/>
    </row>
    <row r="15" spans="1:19" ht="15" customHeight="1" x14ac:dyDescent="0.2">
      <c r="A15" s="188">
        <f>Programm!L16</f>
        <v>0</v>
      </c>
      <c r="B15" s="195" t="str">
        <f>Programm!A16</f>
        <v>Übung 7</v>
      </c>
      <c r="C15" s="196">
        <f>Programm!B16</f>
        <v>0</v>
      </c>
      <c r="D15" s="197"/>
      <c r="E15" s="198"/>
      <c r="F15" s="199"/>
      <c r="G15" s="200"/>
      <c r="H15" s="197"/>
      <c r="I15" s="198"/>
      <c r="J15" s="199"/>
      <c r="K15" s="200"/>
      <c r="L15" s="197"/>
      <c r="M15" s="198"/>
      <c r="N15" s="199"/>
      <c r="O15" s="200"/>
      <c r="P15" s="197"/>
      <c r="Q15" s="198"/>
      <c r="R15" s="199"/>
      <c r="S15" s="200"/>
    </row>
    <row r="16" spans="1:19" x14ac:dyDescent="0.2">
      <c r="A16" s="188">
        <f>Programm!L17</f>
        <v>0</v>
      </c>
      <c r="B16" s="195">
        <f>Programm!A17</f>
        <v>0</v>
      </c>
      <c r="C16" s="196">
        <f>Programm!B17</f>
        <v>0</v>
      </c>
      <c r="D16" s="197"/>
      <c r="E16" s="198"/>
      <c r="F16" s="199"/>
      <c r="G16" s="200"/>
      <c r="H16" s="197"/>
      <c r="I16" s="198"/>
      <c r="J16" s="199"/>
      <c r="K16" s="200"/>
      <c r="L16" s="197"/>
      <c r="M16" s="198"/>
      <c r="N16" s="199"/>
      <c r="O16" s="200"/>
      <c r="P16" s="197"/>
      <c r="Q16" s="198"/>
      <c r="R16" s="199"/>
      <c r="S16" s="200"/>
    </row>
    <row r="17" spans="1:19" ht="15" customHeight="1" x14ac:dyDescent="0.2">
      <c r="A17" s="188">
        <f>Programm!L18</f>
        <v>0</v>
      </c>
      <c r="B17" s="195" t="str">
        <f>Programm!A18</f>
        <v>Übung 8</v>
      </c>
      <c r="C17" s="196">
        <f>Programm!B18</f>
        <v>0</v>
      </c>
      <c r="D17" s="197"/>
      <c r="E17" s="198"/>
      <c r="F17" s="199"/>
      <c r="G17" s="200"/>
      <c r="H17" s="197"/>
      <c r="I17" s="198"/>
      <c r="J17" s="199"/>
      <c r="K17" s="200"/>
      <c r="L17" s="197"/>
      <c r="M17" s="198"/>
      <c r="N17" s="199"/>
      <c r="O17" s="200"/>
      <c r="P17" s="197"/>
      <c r="Q17" s="198"/>
      <c r="R17" s="199"/>
      <c r="S17" s="200"/>
    </row>
    <row r="18" spans="1:19" x14ac:dyDescent="0.2">
      <c r="A18" s="188">
        <f>Programm!L19</f>
        <v>0</v>
      </c>
      <c r="B18" s="195">
        <f>Programm!A19</f>
        <v>0</v>
      </c>
      <c r="C18" s="196">
        <f>Programm!B19</f>
        <v>0</v>
      </c>
      <c r="D18" s="197"/>
      <c r="E18" s="198"/>
      <c r="F18" s="199"/>
      <c r="G18" s="200"/>
      <c r="H18" s="197"/>
      <c r="I18" s="198"/>
      <c r="J18" s="199"/>
      <c r="K18" s="200"/>
      <c r="L18" s="197"/>
      <c r="M18" s="198"/>
      <c r="N18" s="199"/>
      <c r="O18" s="200"/>
      <c r="P18" s="197"/>
      <c r="Q18" s="198"/>
      <c r="R18" s="199"/>
      <c r="S18" s="200"/>
    </row>
    <row r="19" spans="1:19" ht="15" customHeight="1" x14ac:dyDescent="0.2">
      <c r="A19" s="188">
        <f>Programm!L20</f>
        <v>0</v>
      </c>
      <c r="B19" s="195" t="str">
        <f>Programm!A20</f>
        <v>Übung 9</v>
      </c>
      <c r="C19" s="196">
        <f>Programm!B20</f>
        <v>0</v>
      </c>
      <c r="D19" s="197"/>
      <c r="E19" s="198"/>
      <c r="F19" s="199"/>
      <c r="G19" s="200"/>
      <c r="H19" s="197"/>
      <c r="I19" s="198"/>
      <c r="J19" s="199"/>
      <c r="K19" s="200"/>
      <c r="L19" s="197"/>
      <c r="M19" s="198"/>
      <c r="N19" s="199"/>
      <c r="O19" s="200"/>
      <c r="P19" s="197"/>
      <c r="Q19" s="198"/>
      <c r="R19" s="199"/>
      <c r="S19" s="200"/>
    </row>
    <row r="20" spans="1:19" x14ac:dyDescent="0.2">
      <c r="A20" s="188">
        <f>Programm!L21</f>
        <v>0</v>
      </c>
      <c r="B20" s="195">
        <f>Programm!A21</f>
        <v>0</v>
      </c>
      <c r="C20" s="196">
        <f>Programm!B21</f>
        <v>0</v>
      </c>
      <c r="D20" s="197"/>
      <c r="E20" s="198"/>
      <c r="F20" s="199"/>
      <c r="G20" s="200"/>
      <c r="H20" s="197"/>
      <c r="I20" s="198"/>
      <c r="J20" s="199"/>
      <c r="K20" s="200"/>
      <c r="L20" s="197"/>
      <c r="M20" s="198"/>
      <c r="N20" s="199"/>
      <c r="O20" s="200"/>
      <c r="P20" s="197"/>
      <c r="Q20" s="198"/>
      <c r="R20" s="199"/>
      <c r="S20" s="200"/>
    </row>
    <row r="21" spans="1:19" ht="15" customHeight="1" x14ac:dyDescent="0.2">
      <c r="A21" s="188">
        <f>Programm!L22</f>
        <v>0</v>
      </c>
      <c r="B21" s="195" t="str">
        <f>Programm!A22</f>
        <v>Übung 10</v>
      </c>
      <c r="C21" s="196">
        <f>Programm!B22</f>
        <v>0</v>
      </c>
      <c r="D21" s="197"/>
      <c r="E21" s="198"/>
      <c r="F21" s="199"/>
      <c r="G21" s="200"/>
      <c r="H21" s="197"/>
      <c r="I21" s="198"/>
      <c r="J21" s="199"/>
      <c r="K21" s="200"/>
      <c r="L21" s="197"/>
      <c r="M21" s="198"/>
      <c r="N21" s="199"/>
      <c r="O21" s="200"/>
      <c r="P21" s="197"/>
      <c r="Q21" s="198"/>
      <c r="R21" s="199"/>
      <c r="S21" s="200"/>
    </row>
    <row r="22" spans="1:19" x14ac:dyDescent="0.2">
      <c r="A22" s="188">
        <f>Programm!L23</f>
        <v>0</v>
      </c>
      <c r="B22" s="195">
        <f>Programm!A23</f>
        <v>0</v>
      </c>
      <c r="C22" s="196">
        <f>Programm!B23</f>
        <v>0</v>
      </c>
      <c r="D22" s="197"/>
      <c r="E22" s="198"/>
      <c r="F22" s="199"/>
      <c r="G22" s="200"/>
      <c r="H22" s="197"/>
      <c r="I22" s="198"/>
      <c r="J22" s="199"/>
      <c r="K22" s="200"/>
      <c r="L22" s="197"/>
      <c r="M22" s="198"/>
      <c r="N22" s="199"/>
      <c r="O22" s="200"/>
      <c r="P22" s="197"/>
      <c r="Q22" s="198"/>
      <c r="R22" s="199"/>
      <c r="S22" s="200"/>
    </row>
    <row r="23" spans="1:19" ht="15" customHeight="1" x14ac:dyDescent="0.2">
      <c r="A23" s="188">
        <f>Programm!L24</f>
        <v>0</v>
      </c>
      <c r="B23" s="195" t="str">
        <f>Programm!A24</f>
        <v>Übung 11</v>
      </c>
      <c r="C23" s="196">
        <f>Programm!B24</f>
        <v>0</v>
      </c>
      <c r="D23" s="197"/>
      <c r="E23" s="198"/>
      <c r="F23" s="199"/>
      <c r="G23" s="200"/>
      <c r="H23" s="197"/>
      <c r="I23" s="198"/>
      <c r="J23" s="199"/>
      <c r="K23" s="200"/>
      <c r="L23" s="197"/>
      <c r="M23" s="198"/>
      <c r="N23" s="199"/>
      <c r="O23" s="200"/>
      <c r="P23" s="197"/>
      <c r="Q23" s="198"/>
      <c r="R23" s="199"/>
      <c r="S23" s="200"/>
    </row>
    <row r="24" spans="1:19" x14ac:dyDescent="0.2">
      <c r="A24" s="188">
        <f>Programm!L25</f>
        <v>0</v>
      </c>
      <c r="B24" s="195">
        <f>Programm!A25</f>
        <v>0</v>
      </c>
      <c r="C24" s="196">
        <f>Programm!B25</f>
        <v>0</v>
      </c>
      <c r="D24" s="197"/>
      <c r="E24" s="198"/>
      <c r="F24" s="199"/>
      <c r="G24" s="200"/>
      <c r="H24" s="197"/>
      <c r="I24" s="198"/>
      <c r="J24" s="199"/>
      <c r="K24" s="200"/>
      <c r="L24" s="197"/>
      <c r="M24" s="198"/>
      <c r="N24" s="199"/>
      <c r="O24" s="200"/>
      <c r="P24" s="197"/>
      <c r="Q24" s="198"/>
      <c r="R24" s="199"/>
      <c r="S24" s="200"/>
    </row>
    <row r="25" spans="1:19" ht="15" customHeight="1" x14ac:dyDescent="0.2">
      <c r="A25" s="188">
        <f>Programm!L26</f>
        <v>0</v>
      </c>
      <c r="B25" s="195" t="str">
        <f>Programm!A26</f>
        <v>Übung 12</v>
      </c>
      <c r="C25" s="196">
        <f>Programm!B26</f>
        <v>0</v>
      </c>
      <c r="D25" s="197"/>
      <c r="E25" s="198"/>
      <c r="F25" s="199"/>
      <c r="G25" s="200"/>
      <c r="H25" s="197"/>
      <c r="I25" s="198"/>
      <c r="J25" s="199"/>
      <c r="K25" s="200"/>
      <c r="L25" s="197"/>
      <c r="M25" s="198"/>
      <c r="N25" s="199"/>
      <c r="O25" s="200"/>
      <c r="P25" s="197"/>
      <c r="Q25" s="198"/>
      <c r="R25" s="199"/>
      <c r="S25" s="200"/>
    </row>
    <row r="26" spans="1:19" x14ac:dyDescent="0.2">
      <c r="A26" s="188">
        <f>Programm!L27</f>
        <v>0</v>
      </c>
      <c r="B26" s="195">
        <f>Programm!A27</f>
        <v>0</v>
      </c>
      <c r="C26" s="196">
        <f>Programm!B27</f>
        <v>0</v>
      </c>
      <c r="D26" s="197"/>
      <c r="E26" s="198"/>
      <c r="F26" s="199"/>
      <c r="G26" s="200"/>
      <c r="H26" s="197"/>
      <c r="I26" s="198"/>
      <c r="J26" s="199"/>
      <c r="K26" s="200"/>
      <c r="L26" s="197"/>
      <c r="M26" s="198"/>
      <c r="N26" s="199"/>
      <c r="O26" s="200"/>
      <c r="P26" s="197"/>
      <c r="Q26" s="198"/>
      <c r="R26" s="199"/>
      <c r="S26" s="200"/>
    </row>
    <row r="27" spans="1:19" x14ac:dyDescent="0.2">
      <c r="A27" s="188">
        <f>Programm!L28</f>
        <v>0</v>
      </c>
      <c r="B27" s="195" t="str">
        <f>Programm!A28</f>
        <v>Übung 13</v>
      </c>
      <c r="C27" s="196">
        <f>Programm!B28</f>
        <v>0</v>
      </c>
      <c r="D27" s="197"/>
      <c r="E27" s="198"/>
      <c r="F27" s="199"/>
      <c r="G27" s="200"/>
      <c r="H27" s="197"/>
      <c r="I27" s="198"/>
      <c r="J27" s="199"/>
      <c r="K27" s="200"/>
      <c r="L27" s="197"/>
      <c r="M27" s="198"/>
      <c r="N27" s="199"/>
      <c r="O27" s="200"/>
      <c r="P27" s="197"/>
      <c r="Q27" s="198"/>
      <c r="R27" s="199"/>
      <c r="S27" s="200"/>
    </row>
    <row r="28" spans="1:19" ht="15" customHeight="1" x14ac:dyDescent="0.2">
      <c r="A28" s="188">
        <f>Programm!L29</f>
        <v>0</v>
      </c>
      <c r="B28" s="195">
        <f>Programm!A29</f>
        <v>0</v>
      </c>
      <c r="C28" s="196">
        <f>Programm!B29</f>
        <v>0</v>
      </c>
      <c r="D28" s="197"/>
      <c r="E28" s="198"/>
      <c r="F28" s="199"/>
      <c r="G28" s="200"/>
      <c r="H28" s="197"/>
      <c r="I28" s="198"/>
      <c r="J28" s="199"/>
      <c r="K28" s="200"/>
      <c r="L28" s="197"/>
      <c r="M28" s="198"/>
      <c r="N28" s="199"/>
      <c r="O28" s="200"/>
      <c r="P28" s="197"/>
      <c r="Q28" s="198"/>
      <c r="R28" s="199"/>
      <c r="S28" s="200"/>
    </row>
    <row r="29" spans="1:19" x14ac:dyDescent="0.2">
      <c r="A29" s="188">
        <f>Programm!L30</f>
        <v>0</v>
      </c>
      <c r="B29" s="195" t="str">
        <f>Programm!A30</f>
        <v>Übung 14</v>
      </c>
      <c r="C29" s="196">
        <f>Programm!B30</f>
        <v>0</v>
      </c>
      <c r="D29" s="197"/>
      <c r="E29" s="198"/>
      <c r="F29" s="199"/>
      <c r="G29" s="200"/>
      <c r="H29" s="197"/>
      <c r="I29" s="198"/>
      <c r="J29" s="199"/>
      <c r="K29" s="200"/>
      <c r="L29" s="197"/>
      <c r="M29" s="198"/>
      <c r="N29" s="199"/>
      <c r="O29" s="200"/>
      <c r="P29" s="197"/>
      <c r="Q29" s="198"/>
      <c r="R29" s="199"/>
      <c r="S29" s="200"/>
    </row>
    <row r="30" spans="1:19" ht="15" customHeight="1" x14ac:dyDescent="0.2">
      <c r="A30" s="188">
        <f>Programm!L31</f>
        <v>0</v>
      </c>
      <c r="B30" s="195">
        <f>Programm!A31</f>
        <v>0</v>
      </c>
      <c r="C30" s="196">
        <f>Programm!B31</f>
        <v>0</v>
      </c>
      <c r="D30" s="201"/>
      <c r="E30" s="202"/>
      <c r="F30" s="203"/>
      <c r="G30" s="204"/>
      <c r="H30" s="201"/>
      <c r="I30" s="202"/>
      <c r="J30" s="203"/>
      <c r="K30" s="204"/>
      <c r="L30" s="201"/>
      <c r="M30" s="202"/>
      <c r="N30" s="203"/>
      <c r="O30" s="204"/>
      <c r="P30" s="201"/>
      <c r="Q30" s="202"/>
      <c r="R30" s="203"/>
      <c r="S30" s="204"/>
    </row>
    <row r="31" spans="1:19" ht="15" customHeight="1" x14ac:dyDescent="0.2">
      <c r="A31" s="188">
        <f>Programm!L32</f>
        <v>0</v>
      </c>
      <c r="B31" s="195" t="str">
        <f>Programm!A32</f>
        <v>Übung 15</v>
      </c>
      <c r="C31" s="196">
        <f>Programm!B32</f>
        <v>0</v>
      </c>
      <c r="D31" s="201"/>
      <c r="E31" s="202"/>
      <c r="F31" s="203"/>
      <c r="G31" s="204"/>
      <c r="H31" s="201"/>
      <c r="I31" s="202"/>
      <c r="J31" s="203"/>
      <c r="K31" s="204"/>
      <c r="L31" s="201"/>
      <c r="M31" s="202"/>
      <c r="N31" s="203"/>
      <c r="O31" s="204"/>
      <c r="P31" s="201"/>
      <c r="Q31" s="202"/>
      <c r="R31" s="203"/>
      <c r="S31" s="204"/>
    </row>
    <row r="32" spans="1:19" x14ac:dyDescent="0.2">
      <c r="A32" s="188">
        <f>Programm!L33</f>
        <v>0</v>
      </c>
      <c r="B32" s="195">
        <f>Programm!A33</f>
        <v>0</v>
      </c>
      <c r="C32" s="196">
        <f>Programm!B33</f>
        <v>0</v>
      </c>
      <c r="D32" s="201"/>
      <c r="E32" s="202"/>
      <c r="F32" s="203"/>
      <c r="G32" s="204"/>
      <c r="H32" s="201"/>
      <c r="I32" s="202"/>
      <c r="J32" s="203"/>
      <c r="K32" s="204"/>
      <c r="L32" s="201"/>
      <c r="M32" s="202"/>
      <c r="N32" s="203"/>
      <c r="O32" s="204"/>
      <c r="P32" s="201"/>
      <c r="Q32" s="202"/>
      <c r="R32" s="203"/>
      <c r="S32" s="204"/>
    </row>
    <row r="33" spans="1:19" x14ac:dyDescent="0.2">
      <c r="A33" s="188">
        <f>Programm!L34</f>
        <v>0</v>
      </c>
      <c r="B33" s="195" t="str">
        <f>Programm!A34</f>
        <v>Übung 16</v>
      </c>
      <c r="C33" s="196">
        <f>Programm!B34</f>
        <v>0</v>
      </c>
      <c r="D33" s="197"/>
      <c r="E33" s="198"/>
      <c r="F33" s="199"/>
      <c r="G33" s="200"/>
      <c r="H33" s="197"/>
      <c r="I33" s="198"/>
      <c r="J33" s="199"/>
      <c r="K33" s="200"/>
      <c r="L33" s="197"/>
      <c r="M33" s="198"/>
      <c r="N33" s="199"/>
      <c r="O33" s="200"/>
      <c r="P33" s="197"/>
      <c r="Q33" s="198"/>
      <c r="R33" s="199"/>
      <c r="S33" s="200"/>
    </row>
    <row r="34" spans="1:19" ht="15" customHeight="1" x14ac:dyDescent="0.2">
      <c r="A34" s="188">
        <f>Programm!L35</f>
        <v>0</v>
      </c>
      <c r="B34" s="195">
        <f>Programm!A35</f>
        <v>0</v>
      </c>
      <c r="C34" s="196">
        <f>Programm!B35</f>
        <v>0</v>
      </c>
      <c r="D34" s="197"/>
      <c r="E34" s="198"/>
      <c r="F34" s="199"/>
      <c r="G34" s="200"/>
      <c r="H34" s="197"/>
      <c r="I34" s="198"/>
      <c r="J34" s="199"/>
      <c r="K34" s="200"/>
      <c r="L34" s="197"/>
      <c r="M34" s="198"/>
      <c r="N34" s="199"/>
      <c r="O34" s="200"/>
      <c r="P34" s="197"/>
      <c r="Q34" s="198"/>
      <c r="R34" s="199"/>
      <c r="S34" s="200"/>
    </row>
    <row r="35" spans="1:19" ht="15" customHeight="1" x14ac:dyDescent="0.2">
      <c r="A35" s="188">
        <f>Programm!L36</f>
        <v>0</v>
      </c>
      <c r="B35" s="195" t="str">
        <f>Programm!A36</f>
        <v>Übung 17</v>
      </c>
      <c r="C35" s="196">
        <f>Programm!B36</f>
        <v>0</v>
      </c>
      <c r="D35" s="197"/>
      <c r="E35" s="198"/>
      <c r="F35" s="199"/>
      <c r="G35" s="200"/>
      <c r="H35" s="197"/>
      <c r="I35" s="198"/>
      <c r="J35" s="199"/>
      <c r="K35" s="200"/>
      <c r="L35" s="197"/>
      <c r="M35" s="198"/>
      <c r="N35" s="199"/>
      <c r="O35" s="200"/>
      <c r="P35" s="197"/>
      <c r="Q35" s="198"/>
      <c r="R35" s="199"/>
      <c r="S35" s="200"/>
    </row>
    <row r="36" spans="1:19" x14ac:dyDescent="0.2">
      <c r="A36" s="188">
        <f>Programm!L37</f>
        <v>0</v>
      </c>
      <c r="B36" s="195">
        <f>Programm!A37</f>
        <v>0</v>
      </c>
      <c r="C36" s="196">
        <f>Programm!B37</f>
        <v>0</v>
      </c>
      <c r="D36" s="197"/>
      <c r="E36" s="198"/>
      <c r="F36" s="199"/>
      <c r="G36" s="200"/>
      <c r="H36" s="197"/>
      <c r="I36" s="198"/>
      <c r="J36" s="199"/>
      <c r="K36" s="200"/>
      <c r="L36" s="197"/>
      <c r="M36" s="198"/>
      <c r="N36" s="199"/>
      <c r="O36" s="200"/>
      <c r="P36" s="197"/>
      <c r="Q36" s="198"/>
      <c r="R36" s="199"/>
      <c r="S36" s="200"/>
    </row>
    <row r="37" spans="1:19" ht="15" customHeight="1" x14ac:dyDescent="0.2">
      <c r="A37" s="188">
        <f>Programm!L38</f>
        <v>0</v>
      </c>
      <c r="B37" s="195" t="str">
        <f>Programm!A38</f>
        <v>Übung 18</v>
      </c>
      <c r="C37" s="196">
        <f>Programm!B38</f>
        <v>0</v>
      </c>
      <c r="D37" s="197"/>
      <c r="E37" s="198"/>
      <c r="F37" s="199"/>
      <c r="G37" s="200"/>
      <c r="H37" s="197"/>
      <c r="I37" s="198"/>
      <c r="J37" s="199"/>
      <c r="K37" s="200"/>
      <c r="L37" s="197"/>
      <c r="M37" s="198"/>
      <c r="N37" s="199"/>
      <c r="O37" s="200"/>
      <c r="P37" s="197"/>
      <c r="Q37" s="198"/>
      <c r="R37" s="199"/>
      <c r="S37" s="200"/>
    </row>
    <row r="38" spans="1:19" x14ac:dyDescent="0.2">
      <c r="A38" s="188">
        <f>Programm!L39</f>
        <v>0</v>
      </c>
      <c r="B38" s="195">
        <f>Programm!A39</f>
        <v>0</v>
      </c>
      <c r="C38" s="196">
        <f>Programm!B39</f>
        <v>0</v>
      </c>
      <c r="D38" s="197"/>
      <c r="E38" s="198"/>
      <c r="F38" s="199"/>
      <c r="G38" s="200"/>
      <c r="H38" s="197"/>
      <c r="I38" s="198"/>
      <c r="J38" s="199"/>
      <c r="K38" s="200"/>
      <c r="L38" s="197"/>
      <c r="M38" s="198"/>
      <c r="N38" s="199"/>
      <c r="O38" s="200"/>
      <c r="P38" s="197"/>
      <c r="Q38" s="198"/>
      <c r="R38" s="199"/>
      <c r="S38" s="200"/>
    </row>
    <row r="39" spans="1:19" ht="15" customHeight="1" x14ac:dyDescent="0.2">
      <c r="A39" s="188">
        <f>Programm!L40</f>
        <v>0</v>
      </c>
      <c r="B39" s="195" t="str">
        <f>Programm!A40</f>
        <v>Übung 19</v>
      </c>
      <c r="C39" s="196">
        <f>Programm!B40</f>
        <v>0</v>
      </c>
      <c r="D39" s="197"/>
      <c r="E39" s="198"/>
      <c r="F39" s="199"/>
      <c r="G39" s="200"/>
      <c r="H39" s="197"/>
      <c r="I39" s="198"/>
      <c r="J39" s="199"/>
      <c r="K39" s="200"/>
      <c r="L39" s="197"/>
      <c r="M39" s="198"/>
      <c r="N39" s="199"/>
      <c r="O39" s="200"/>
      <c r="P39" s="197"/>
      <c r="Q39" s="198"/>
      <c r="R39" s="199"/>
      <c r="S39" s="200"/>
    </row>
    <row r="40" spans="1:19" x14ac:dyDescent="0.2">
      <c r="A40" s="188">
        <f>Programm!L41</f>
        <v>0</v>
      </c>
      <c r="B40" s="195">
        <f>Programm!A41</f>
        <v>0</v>
      </c>
      <c r="C40" s="196">
        <f>Programm!B41</f>
        <v>0</v>
      </c>
      <c r="D40" s="197"/>
      <c r="E40" s="198"/>
      <c r="F40" s="199"/>
      <c r="G40" s="200"/>
      <c r="H40" s="197"/>
      <c r="I40" s="198"/>
      <c r="J40" s="199"/>
      <c r="K40" s="200"/>
      <c r="L40" s="197"/>
      <c r="M40" s="198"/>
      <c r="N40" s="199"/>
      <c r="O40" s="200"/>
      <c r="P40" s="197"/>
      <c r="Q40" s="198"/>
      <c r="R40" s="199"/>
      <c r="S40" s="200"/>
    </row>
    <row r="41" spans="1:19" ht="15" customHeight="1" x14ac:dyDescent="0.2">
      <c r="A41" s="188">
        <f>Programm!L42</f>
        <v>0</v>
      </c>
      <c r="B41" s="195" t="str">
        <f>Programm!A42</f>
        <v>Übung 20</v>
      </c>
      <c r="C41" s="196">
        <f>Programm!B42</f>
        <v>0</v>
      </c>
      <c r="D41" s="197"/>
      <c r="E41" s="198"/>
      <c r="F41" s="199"/>
      <c r="G41" s="200"/>
      <c r="H41" s="197"/>
      <c r="I41" s="198"/>
      <c r="J41" s="199"/>
      <c r="K41" s="200"/>
      <c r="L41" s="197"/>
      <c r="M41" s="198"/>
      <c r="N41" s="199"/>
      <c r="O41" s="200"/>
      <c r="P41" s="197"/>
      <c r="Q41" s="198"/>
      <c r="R41" s="199"/>
      <c r="S41" s="200"/>
    </row>
    <row r="42" spans="1:19" x14ac:dyDescent="0.2">
      <c r="A42" s="188">
        <f>Programm!L43</f>
        <v>0</v>
      </c>
      <c r="B42" s="195">
        <f>Programm!A43</f>
        <v>0</v>
      </c>
      <c r="C42" s="196">
        <f>Programm!B43</f>
        <v>0</v>
      </c>
      <c r="D42" s="197"/>
      <c r="E42" s="198"/>
      <c r="F42" s="199"/>
      <c r="G42" s="200"/>
      <c r="H42" s="197"/>
      <c r="I42" s="198"/>
      <c r="J42" s="199"/>
      <c r="K42" s="200"/>
      <c r="L42" s="197"/>
      <c r="M42" s="198"/>
      <c r="N42" s="199"/>
      <c r="O42" s="200"/>
      <c r="P42" s="197"/>
      <c r="Q42" s="198"/>
      <c r="R42" s="199"/>
      <c r="S42" s="200"/>
    </row>
    <row r="43" spans="1:19" ht="15" customHeight="1" x14ac:dyDescent="0.2">
      <c r="A43" s="188">
        <f>Programm!L44</f>
        <v>0</v>
      </c>
      <c r="B43" s="195" t="str">
        <f>Programm!A44</f>
        <v>Übung 21</v>
      </c>
      <c r="C43" s="196">
        <f>Programm!B44</f>
        <v>0</v>
      </c>
      <c r="D43" s="197"/>
      <c r="E43" s="198"/>
      <c r="F43" s="199"/>
      <c r="G43" s="200"/>
      <c r="H43" s="197"/>
      <c r="I43" s="198"/>
      <c r="J43" s="199"/>
      <c r="K43" s="200"/>
      <c r="L43" s="197"/>
      <c r="M43" s="198"/>
      <c r="N43" s="199"/>
      <c r="O43" s="200"/>
      <c r="P43" s="197"/>
      <c r="Q43" s="198"/>
      <c r="R43" s="199"/>
      <c r="S43" s="200"/>
    </row>
    <row r="44" spans="1:19" x14ac:dyDescent="0.2">
      <c r="A44" s="188">
        <f>Programm!L45</f>
        <v>0</v>
      </c>
      <c r="B44" s="195">
        <f>Programm!A45</f>
        <v>0</v>
      </c>
      <c r="C44" s="196">
        <f>Programm!B45</f>
        <v>0</v>
      </c>
      <c r="D44" s="197"/>
      <c r="E44" s="198"/>
      <c r="F44" s="199"/>
      <c r="G44" s="200"/>
      <c r="H44" s="197"/>
      <c r="I44" s="198"/>
      <c r="J44" s="199"/>
      <c r="K44" s="200"/>
      <c r="L44" s="197"/>
      <c r="M44" s="198"/>
      <c r="N44" s="199"/>
      <c r="O44" s="200"/>
      <c r="P44" s="197"/>
      <c r="Q44" s="198"/>
      <c r="R44" s="199"/>
      <c r="S44" s="200"/>
    </row>
    <row r="45" spans="1:19" ht="15" customHeight="1" x14ac:dyDescent="0.2">
      <c r="A45" s="188">
        <f>Programm!L46</f>
        <v>0</v>
      </c>
      <c r="B45" s="195" t="str">
        <f>Programm!A46</f>
        <v>Übung 22</v>
      </c>
      <c r="C45" s="196">
        <f>Programm!B46</f>
        <v>0</v>
      </c>
      <c r="D45" s="197"/>
      <c r="E45" s="198"/>
      <c r="F45" s="199"/>
      <c r="G45" s="200"/>
      <c r="H45" s="197"/>
      <c r="I45" s="198"/>
      <c r="J45" s="199"/>
      <c r="K45" s="200"/>
      <c r="L45" s="197"/>
      <c r="M45" s="198"/>
      <c r="N45" s="199"/>
      <c r="O45" s="200"/>
      <c r="P45" s="197"/>
      <c r="Q45" s="198"/>
      <c r="R45" s="199"/>
      <c r="S45" s="200"/>
    </row>
    <row r="46" spans="1:19" x14ac:dyDescent="0.2">
      <c r="A46" s="188">
        <f>Programm!L47</f>
        <v>0</v>
      </c>
      <c r="B46" s="195">
        <f>Programm!A47</f>
        <v>0</v>
      </c>
      <c r="C46" s="196">
        <f>Programm!B47</f>
        <v>0</v>
      </c>
      <c r="D46" s="197"/>
      <c r="E46" s="198"/>
      <c r="F46" s="199"/>
      <c r="G46" s="200"/>
      <c r="H46" s="197"/>
      <c r="I46" s="198"/>
      <c r="J46" s="199"/>
      <c r="K46" s="200"/>
      <c r="L46" s="197"/>
      <c r="M46" s="198"/>
      <c r="N46" s="199"/>
      <c r="O46" s="200"/>
      <c r="P46" s="197"/>
      <c r="Q46" s="198"/>
      <c r="R46" s="199"/>
      <c r="S46" s="200"/>
    </row>
    <row r="47" spans="1:19" ht="15" customHeight="1" x14ac:dyDescent="0.2">
      <c r="A47" s="188">
        <f>Programm!L48</f>
        <v>0</v>
      </c>
      <c r="B47" s="195" t="str">
        <f>Programm!A48</f>
        <v>Übung 23</v>
      </c>
      <c r="C47" s="196">
        <f>Programm!B48</f>
        <v>0</v>
      </c>
      <c r="D47" s="197"/>
      <c r="E47" s="198"/>
      <c r="F47" s="199"/>
      <c r="G47" s="200"/>
      <c r="H47" s="197"/>
      <c r="I47" s="198"/>
      <c r="J47" s="199"/>
      <c r="K47" s="200"/>
      <c r="L47" s="197"/>
      <c r="M47" s="198"/>
      <c r="N47" s="199"/>
      <c r="O47" s="200"/>
      <c r="P47" s="197"/>
      <c r="Q47" s="198"/>
      <c r="R47" s="199"/>
      <c r="S47" s="200"/>
    </row>
    <row r="48" spans="1:19" x14ac:dyDescent="0.2">
      <c r="A48" s="188">
        <f>Programm!L49</f>
        <v>0</v>
      </c>
      <c r="B48" s="195">
        <f>Programm!A49</f>
        <v>0</v>
      </c>
      <c r="C48" s="196">
        <f>Programm!B49</f>
        <v>0</v>
      </c>
      <c r="D48" s="197"/>
      <c r="E48" s="198"/>
      <c r="F48" s="199"/>
      <c r="G48" s="200"/>
      <c r="H48" s="197"/>
      <c r="I48" s="198"/>
      <c r="J48" s="199"/>
      <c r="K48" s="200"/>
      <c r="L48" s="197"/>
      <c r="M48" s="198"/>
      <c r="N48" s="199"/>
      <c r="O48" s="200"/>
      <c r="P48" s="197"/>
      <c r="Q48" s="198"/>
      <c r="R48" s="199"/>
      <c r="S48" s="200"/>
    </row>
    <row r="49" spans="1:19" ht="15" customHeight="1" x14ac:dyDescent="0.2">
      <c r="A49" s="188">
        <f>Programm!L50</f>
        <v>0</v>
      </c>
      <c r="B49" s="195" t="str">
        <f>Programm!A50</f>
        <v>Übung 24</v>
      </c>
      <c r="C49" s="196">
        <f>Programm!B50</f>
        <v>0</v>
      </c>
      <c r="D49" s="197"/>
      <c r="E49" s="198"/>
      <c r="F49" s="199"/>
      <c r="G49" s="200"/>
      <c r="H49" s="197"/>
      <c r="I49" s="198"/>
      <c r="J49" s="199"/>
      <c r="K49" s="200"/>
      <c r="L49" s="197"/>
      <c r="M49" s="198"/>
      <c r="N49" s="199"/>
      <c r="O49" s="200"/>
      <c r="P49" s="197"/>
      <c r="Q49" s="198"/>
      <c r="R49" s="199"/>
      <c r="S49" s="200"/>
    </row>
    <row r="50" spans="1:19" x14ac:dyDescent="0.2">
      <c r="A50" s="188">
        <f>Programm!L51</f>
        <v>0</v>
      </c>
      <c r="B50" s="195">
        <f>Programm!A51</f>
        <v>0</v>
      </c>
      <c r="C50" s="196">
        <f>Programm!B51</f>
        <v>0</v>
      </c>
      <c r="D50" s="197"/>
      <c r="E50" s="198"/>
      <c r="F50" s="199"/>
      <c r="G50" s="200"/>
      <c r="H50" s="197"/>
      <c r="I50" s="198"/>
      <c r="J50" s="199"/>
      <c r="K50" s="200"/>
      <c r="L50" s="197"/>
      <c r="M50" s="198"/>
      <c r="N50" s="199"/>
      <c r="O50" s="200"/>
      <c r="P50" s="197"/>
      <c r="Q50" s="198"/>
      <c r="R50" s="199"/>
      <c r="S50" s="200"/>
    </row>
    <row r="51" spans="1:19" ht="15" customHeight="1" x14ac:dyDescent="0.2">
      <c r="A51" s="188">
        <f>Programm!L52</f>
        <v>0</v>
      </c>
      <c r="B51" s="195" t="str">
        <f>Programm!A52</f>
        <v>Übung 25</v>
      </c>
      <c r="C51" s="196">
        <f>Programm!B52</f>
        <v>0</v>
      </c>
      <c r="D51" s="197"/>
      <c r="E51" s="198"/>
      <c r="F51" s="199"/>
      <c r="G51" s="200"/>
      <c r="H51" s="197"/>
      <c r="I51" s="198"/>
      <c r="J51" s="199"/>
      <c r="K51" s="200"/>
      <c r="L51" s="197"/>
      <c r="M51" s="198"/>
      <c r="N51" s="199"/>
      <c r="O51" s="200"/>
      <c r="P51" s="197"/>
      <c r="Q51" s="198"/>
      <c r="R51" s="199"/>
      <c r="S51" s="200"/>
    </row>
    <row r="52" spans="1:19" x14ac:dyDescent="0.2">
      <c r="A52" s="188">
        <f>Programm!L53</f>
        <v>0</v>
      </c>
      <c r="B52" s="195">
        <f>Programm!A53</f>
        <v>0</v>
      </c>
      <c r="C52" s="196">
        <f>Programm!B53</f>
        <v>0</v>
      </c>
      <c r="D52" s="197"/>
      <c r="E52" s="198"/>
      <c r="F52" s="199"/>
      <c r="G52" s="200"/>
      <c r="H52" s="197"/>
      <c r="I52" s="198"/>
      <c r="J52" s="199"/>
      <c r="K52" s="200"/>
      <c r="L52" s="197"/>
      <c r="M52" s="198"/>
      <c r="N52" s="199"/>
      <c r="O52" s="200"/>
      <c r="P52" s="197"/>
      <c r="Q52" s="198"/>
      <c r="R52" s="199"/>
      <c r="S52" s="200"/>
    </row>
    <row r="53" spans="1:19" ht="15" customHeight="1" x14ac:dyDescent="0.2">
      <c r="A53" s="188">
        <f>Programm!L54</f>
        <v>0</v>
      </c>
      <c r="B53" s="195" t="str">
        <f>Programm!A54</f>
        <v>Übung 26</v>
      </c>
      <c r="C53" s="196">
        <f>Programm!B54</f>
        <v>0</v>
      </c>
      <c r="D53" s="197"/>
      <c r="E53" s="198"/>
      <c r="F53" s="199"/>
      <c r="G53" s="200"/>
      <c r="H53" s="197"/>
      <c r="I53" s="198"/>
      <c r="J53" s="199"/>
      <c r="K53" s="200"/>
      <c r="L53" s="197"/>
      <c r="M53" s="198"/>
      <c r="N53" s="199"/>
      <c r="O53" s="200"/>
      <c r="P53" s="197"/>
      <c r="Q53" s="198"/>
      <c r="R53" s="199"/>
      <c r="S53" s="200"/>
    </row>
    <row r="54" spans="1:19" x14ac:dyDescent="0.2">
      <c r="A54" s="188">
        <f>Programm!L55</f>
        <v>0</v>
      </c>
      <c r="B54" s="195">
        <f>Programm!A55</f>
        <v>0</v>
      </c>
      <c r="C54" s="196">
        <f>Programm!B55</f>
        <v>0</v>
      </c>
      <c r="D54" s="197"/>
      <c r="E54" s="198"/>
      <c r="F54" s="199"/>
      <c r="G54" s="200"/>
      <c r="H54" s="197"/>
      <c r="I54" s="198"/>
      <c r="J54" s="199"/>
      <c r="K54" s="200"/>
      <c r="L54" s="197"/>
      <c r="M54" s="198"/>
      <c r="N54" s="199"/>
      <c r="O54" s="200"/>
      <c r="P54" s="197"/>
      <c r="Q54" s="198"/>
      <c r="R54" s="199"/>
      <c r="S54" s="200"/>
    </row>
    <row r="55" spans="1:19" ht="15" customHeight="1" x14ac:dyDescent="0.2">
      <c r="A55" s="188">
        <f>Programm!L56</f>
        <v>0</v>
      </c>
      <c r="B55" s="195" t="str">
        <f>Programm!A56</f>
        <v>Übung 27</v>
      </c>
      <c r="C55" s="196">
        <f>Programm!B56</f>
        <v>0</v>
      </c>
      <c r="D55" s="197"/>
      <c r="E55" s="198"/>
      <c r="F55" s="199"/>
      <c r="G55" s="200"/>
      <c r="H55" s="197"/>
      <c r="I55" s="198"/>
      <c r="J55" s="199"/>
      <c r="K55" s="200"/>
      <c r="L55" s="197"/>
      <c r="M55" s="198"/>
      <c r="N55" s="199"/>
      <c r="O55" s="200"/>
      <c r="P55" s="197"/>
      <c r="Q55" s="198"/>
      <c r="R55" s="199"/>
      <c r="S55" s="200"/>
    </row>
    <row r="56" spans="1:19" x14ac:dyDescent="0.2">
      <c r="A56" s="188">
        <f>Programm!L57</f>
        <v>0</v>
      </c>
      <c r="B56" s="195">
        <f>Programm!A57</f>
        <v>0</v>
      </c>
      <c r="C56" s="196">
        <f>Programm!B57</f>
        <v>0</v>
      </c>
      <c r="D56" s="197"/>
      <c r="E56" s="198"/>
      <c r="F56" s="199"/>
      <c r="G56" s="200"/>
      <c r="H56" s="197"/>
      <c r="I56" s="198"/>
      <c r="J56" s="199"/>
      <c r="K56" s="200"/>
      <c r="L56" s="197"/>
      <c r="M56" s="198"/>
      <c r="N56" s="199"/>
      <c r="O56" s="200"/>
      <c r="P56" s="197"/>
      <c r="Q56" s="198"/>
      <c r="R56" s="199"/>
      <c r="S56" s="200"/>
    </row>
    <row r="57" spans="1:19" ht="15" customHeight="1" x14ac:dyDescent="0.2">
      <c r="A57" s="188">
        <f>Programm!L58</f>
        <v>0</v>
      </c>
      <c r="B57" s="195" t="str">
        <f>Programm!A58</f>
        <v>Übung 28</v>
      </c>
      <c r="C57" s="196">
        <f>Programm!B58</f>
        <v>0</v>
      </c>
      <c r="D57" s="197"/>
      <c r="E57" s="198"/>
      <c r="F57" s="199"/>
      <c r="G57" s="200"/>
      <c r="H57" s="197"/>
      <c r="I57" s="198"/>
      <c r="J57" s="199"/>
      <c r="K57" s="200"/>
      <c r="L57" s="197"/>
      <c r="M57" s="198"/>
      <c r="N57" s="199"/>
      <c r="O57" s="200"/>
      <c r="P57" s="197"/>
      <c r="Q57" s="198"/>
      <c r="R57" s="199"/>
      <c r="S57" s="200"/>
    </row>
    <row r="58" spans="1:19" x14ac:dyDescent="0.2">
      <c r="A58" s="188">
        <f>Programm!L59</f>
        <v>0</v>
      </c>
      <c r="B58" s="195">
        <f>Programm!A59</f>
        <v>0</v>
      </c>
      <c r="C58" s="196">
        <f>Programm!B59</f>
        <v>0</v>
      </c>
      <c r="D58" s="197"/>
      <c r="E58" s="198"/>
      <c r="F58" s="199"/>
      <c r="G58" s="200"/>
      <c r="H58" s="197"/>
      <c r="I58" s="198"/>
      <c r="J58" s="199"/>
      <c r="K58" s="200"/>
      <c r="L58" s="197"/>
      <c r="M58" s="198"/>
      <c r="N58" s="199"/>
      <c r="O58" s="200"/>
      <c r="P58" s="197"/>
      <c r="Q58" s="198"/>
      <c r="R58" s="199"/>
      <c r="S58" s="200"/>
    </row>
    <row r="59" spans="1:19" ht="15" customHeight="1" x14ac:dyDescent="0.2">
      <c r="A59" s="188">
        <f>Programm!L60</f>
        <v>0</v>
      </c>
      <c r="B59" s="195" t="str">
        <f>Programm!A60</f>
        <v>Übung 29</v>
      </c>
      <c r="C59" s="196">
        <f>Programm!B60</f>
        <v>0</v>
      </c>
      <c r="D59" s="197"/>
      <c r="E59" s="198"/>
      <c r="F59" s="199"/>
      <c r="G59" s="200"/>
      <c r="H59" s="197"/>
      <c r="I59" s="198"/>
      <c r="J59" s="199"/>
      <c r="K59" s="200"/>
      <c r="L59" s="197"/>
      <c r="M59" s="198"/>
      <c r="N59" s="199"/>
      <c r="O59" s="200"/>
      <c r="P59" s="197"/>
      <c r="Q59" s="198"/>
      <c r="R59" s="199"/>
      <c r="S59" s="200"/>
    </row>
    <row r="60" spans="1:19" x14ac:dyDescent="0.2">
      <c r="A60" s="188">
        <f>Programm!L61</f>
        <v>0</v>
      </c>
      <c r="B60" s="195">
        <f>Programm!A61</f>
        <v>0</v>
      </c>
      <c r="C60" s="196">
        <f>Programm!B61</f>
        <v>0</v>
      </c>
      <c r="D60" s="197"/>
      <c r="E60" s="198"/>
      <c r="F60" s="199"/>
      <c r="G60" s="200"/>
      <c r="H60" s="197"/>
      <c r="I60" s="198"/>
      <c r="J60" s="199"/>
      <c r="K60" s="200"/>
      <c r="L60" s="197"/>
      <c r="M60" s="198"/>
      <c r="N60" s="199"/>
      <c r="O60" s="200"/>
      <c r="P60" s="197"/>
      <c r="Q60" s="198"/>
      <c r="R60" s="199"/>
      <c r="S60" s="200"/>
    </row>
    <row r="61" spans="1:19" ht="15" customHeight="1" thickBot="1" x14ac:dyDescent="0.25">
      <c r="A61" s="188">
        <f>Programm!L62</f>
        <v>0</v>
      </c>
      <c r="B61" s="205" t="str">
        <f>Programm!A62</f>
        <v>Übung 30</v>
      </c>
      <c r="C61" s="206">
        <f>Programm!B62</f>
        <v>0</v>
      </c>
      <c r="D61" s="197"/>
      <c r="E61" s="198"/>
      <c r="F61" s="199"/>
      <c r="G61" s="200"/>
      <c r="H61" s="197"/>
      <c r="I61" s="198"/>
      <c r="J61" s="199"/>
      <c r="K61" s="200"/>
      <c r="L61" s="197"/>
      <c r="M61" s="198"/>
      <c r="N61" s="199"/>
      <c r="O61" s="200"/>
      <c r="P61" s="197"/>
      <c r="Q61" s="198"/>
      <c r="R61" s="199"/>
      <c r="S61" s="200"/>
    </row>
    <row r="62" spans="1:19" ht="15" customHeight="1" thickTop="1" x14ac:dyDescent="0.2">
      <c r="A62">
        <v>1</v>
      </c>
      <c r="D62" s="207" t="s">
        <v>51</v>
      </c>
      <c r="E62" s="208"/>
      <c r="F62" s="208" t="s">
        <v>52</v>
      </c>
      <c r="G62" s="209"/>
      <c r="H62" s="207" t="s">
        <v>51</v>
      </c>
      <c r="I62" s="208"/>
      <c r="J62" s="208" t="s">
        <v>52</v>
      </c>
      <c r="K62" s="209"/>
      <c r="L62" s="207" t="s">
        <v>51</v>
      </c>
      <c r="M62" s="208"/>
      <c r="N62" s="208" t="s">
        <v>52</v>
      </c>
      <c r="O62" s="209"/>
      <c r="P62" s="207" t="s">
        <v>51</v>
      </c>
      <c r="Q62" s="208"/>
      <c r="R62" s="208" t="s">
        <v>52</v>
      </c>
      <c r="S62" s="209"/>
    </row>
    <row r="63" spans="1:19" ht="15" customHeight="1" x14ac:dyDescent="0.2">
      <c r="A63">
        <v>1</v>
      </c>
      <c r="D63" s="210" t="s">
        <v>53</v>
      </c>
      <c r="E63" s="211"/>
      <c r="F63" s="211" t="s">
        <v>54</v>
      </c>
      <c r="G63" s="200"/>
      <c r="H63" s="210" t="s">
        <v>53</v>
      </c>
      <c r="I63" s="211"/>
      <c r="J63" s="211" t="s">
        <v>54</v>
      </c>
      <c r="K63" s="200"/>
      <c r="L63" s="210" t="s">
        <v>53</v>
      </c>
      <c r="M63" s="211"/>
      <c r="N63" s="211" t="s">
        <v>54</v>
      </c>
      <c r="O63" s="200"/>
      <c r="P63" s="210" t="s">
        <v>53</v>
      </c>
      <c r="Q63" s="211"/>
      <c r="R63" s="211" t="s">
        <v>54</v>
      </c>
      <c r="S63" s="200"/>
    </row>
    <row r="64" spans="1:19" ht="15" customHeight="1" thickBot="1" x14ac:dyDescent="0.25">
      <c r="A64">
        <v>1</v>
      </c>
      <c r="D64" s="212" t="s">
        <v>55</v>
      </c>
      <c r="E64" s="213"/>
      <c r="F64" s="213" t="s">
        <v>56</v>
      </c>
      <c r="G64" s="204"/>
      <c r="H64" s="212" t="s">
        <v>55</v>
      </c>
      <c r="I64" s="213"/>
      <c r="J64" s="213" t="s">
        <v>56</v>
      </c>
      <c r="K64" s="204"/>
      <c r="L64" s="212" t="s">
        <v>55</v>
      </c>
      <c r="M64" s="213"/>
      <c r="N64" s="213" t="s">
        <v>56</v>
      </c>
      <c r="O64" s="204"/>
      <c r="P64" s="212" t="s">
        <v>55</v>
      </c>
      <c r="Q64" s="213"/>
      <c r="R64" s="213" t="s">
        <v>56</v>
      </c>
      <c r="S64" s="204"/>
    </row>
    <row r="65" spans="1:19" ht="15" customHeight="1" thickBot="1" x14ac:dyDescent="0.25">
      <c r="A65">
        <v>1</v>
      </c>
      <c r="D65" s="214" t="s">
        <v>44</v>
      </c>
      <c r="E65" s="215"/>
      <c r="F65" s="216" t="s">
        <v>57</v>
      </c>
      <c r="G65" s="217"/>
      <c r="H65" s="214" t="s">
        <v>44</v>
      </c>
      <c r="I65" s="215"/>
      <c r="J65" s="216" t="s">
        <v>57</v>
      </c>
      <c r="K65" s="217"/>
      <c r="L65" s="214" t="s">
        <v>44</v>
      </c>
      <c r="M65" s="215"/>
      <c r="N65" s="216" t="s">
        <v>57</v>
      </c>
      <c r="O65" s="217"/>
      <c r="P65" s="214" t="s">
        <v>44</v>
      </c>
      <c r="Q65" s="215"/>
      <c r="R65" s="216" t="s">
        <v>57</v>
      </c>
      <c r="S65" s="217"/>
    </row>
    <row r="76" spans="1:19" x14ac:dyDescent="0.2">
      <c r="B76" s="219"/>
    </row>
    <row r="77" spans="1:19" x14ac:dyDescent="0.2">
      <c r="B77" s="219"/>
    </row>
  </sheetData>
  <sheetProtection password="E42C" sheet="1" objects="1" scenarios="1" selectLockedCells="1" selectUnlockedCells="1"/>
  <autoFilter ref="A1:S65" xr:uid="{6FF38AC3-831D-4DBC-82EB-593B390691AA}"/>
  <phoneticPr fontId="7" type="noConversion"/>
  <pageMargins left="0.78740157499999996" right="0.78740157499999996" top="0.984251969" bottom="0.984251969" header="0.4921259845" footer="0.4921259845"/>
  <pageSetup paperSize="9" scale="88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Programm</vt:lpstr>
      <vt:lpstr>Diagramme</vt:lpstr>
      <vt:lpstr>Einzelne Übung</vt:lpstr>
      <vt:lpstr>höchste Abzüge</vt:lpstr>
      <vt:lpstr>Wertungsbogen</vt:lpstr>
      <vt:lpstr>Diagramme!Druckbereich</vt:lpstr>
      <vt:lpstr>Wertungsbogen!Druckbereich</vt:lpstr>
      <vt:lpstr>'Einzelne Übung'!Suchkriterien</vt:lpstr>
      <vt:lpstr>'höchste Abzüge'!Suchkriterien</vt:lpstr>
      <vt:lpstr>Programm!Suchkriterien</vt:lpstr>
    </vt:vector>
  </TitlesOfParts>
  <Company>WRSV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Maute</dc:creator>
  <cp:lastModifiedBy>Dieter Maute</cp:lastModifiedBy>
  <cp:lastPrinted>2009-06-10T07:25:41Z</cp:lastPrinted>
  <dcterms:created xsi:type="dcterms:W3CDTF">2007-07-09T13:22:39Z</dcterms:created>
  <dcterms:modified xsi:type="dcterms:W3CDTF">2026-06-17T10:36:24Z</dcterms:modified>
</cp:coreProperties>
</file>